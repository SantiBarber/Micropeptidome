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S:\U_Proteomica\UNIDAD\DatosCrudos\Guadalupe_Sabio\MicroProteins\Seer_Mouse\Results\"/>
    </mc:Choice>
  </mc:AlternateContent>
  <xr:revisionPtr revIDLastSave="0" documentId="8_{8CA79C2C-E8EB-4021-9346-5A6993A9EF6E}" xr6:coauthVersionLast="47" xr6:coauthVersionMax="47" xr10:uidLastSave="{00000000-0000-0000-0000-000000000000}"/>
  <bookViews>
    <workbookView xWindow="-120" yWindow="-120" windowWidth="51840" windowHeight="21120" xr2:uid="{60592A2E-E783-4BB5-B977-32A39C970B39}"/>
  </bookViews>
  <sheets>
    <sheet name="Blast238" sheetId="1" r:id="rId1"/>
  </sheets>
  <definedNames>
    <definedName name="_xlnm._FilterDatabase" localSheetId="0" hidden="1">Blast238!$C$39:$AP$39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1" i="1" l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40" i="1"/>
  <c r="B162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</calcChain>
</file>

<file path=xl/sharedStrings.xml><?xml version="1.0" encoding="utf-8"?>
<sst xmlns="http://schemas.openxmlformats.org/spreadsheetml/2006/main" count="1474" uniqueCount="889">
  <si>
    <t>RT_VSE</t>
  </si>
  <si>
    <t>RT_DIANN</t>
  </si>
  <si>
    <t>Delta_RT vs Hyperscore</t>
  </si>
  <si>
    <t>Delta_RT vs vscore</t>
  </si>
  <si>
    <t>MIXA</t>
  </si>
  <si>
    <t>MIXB</t>
  </si>
  <si>
    <t>LV_plasma</t>
  </si>
  <si>
    <t>Plasma</t>
  </si>
  <si>
    <t xml:space="preserve">                                 MIXA                                                      MIXB</t>
  </si>
  <si>
    <t>MissedC</t>
  </si>
  <si>
    <t>microprotein-derived peptide</t>
  </si>
  <si>
    <t>sseqid</t>
  </si>
  <si>
    <t>pHomology</t>
  </si>
  <si>
    <t>length</t>
  </si>
  <si>
    <t>mismatch</t>
  </si>
  <si>
    <t>gapopen</t>
  </si>
  <si>
    <t>qstart</t>
  </si>
  <si>
    <t>qend</t>
  </si>
  <si>
    <t>sstart</t>
  </si>
  <si>
    <t>send</t>
  </si>
  <si>
    <t>evalue</t>
  </si>
  <si>
    <t>bitscore</t>
  </si>
  <si>
    <t>qseq</t>
  </si>
  <si>
    <t>sseq</t>
  </si>
  <si>
    <t>cX7</t>
  </si>
  <si>
    <t>cX9</t>
  </si>
  <si>
    <t>cX14</t>
  </si>
  <si>
    <t>cX17</t>
  </si>
  <si>
    <t>cX22</t>
  </si>
  <si>
    <t>cX23</t>
  </si>
  <si>
    <t>cX26</t>
  </si>
  <si>
    <t>cX35</t>
  </si>
  <si>
    <t>cX40</t>
  </si>
  <si>
    <t>cX47</t>
  </si>
  <si>
    <t>cX49</t>
  </si>
  <si>
    <t>cX54</t>
  </si>
  <si>
    <t>cX57</t>
  </si>
  <si>
    <t>cX62</t>
  </si>
  <si>
    <t>cX63</t>
  </si>
  <si>
    <t>cX66</t>
  </si>
  <si>
    <t>cX75</t>
  </si>
  <si>
    <t>cX80</t>
  </si>
  <si>
    <t>Protein_ID</t>
  </si>
  <si>
    <t>LV_plasma                               Plasma                            LV_plasma                              Plasma</t>
  </si>
  <si>
    <t>Delta_RT</t>
  </si>
  <si>
    <t>Hyperscore_max</t>
  </si>
  <si>
    <t>V-Score_max</t>
  </si>
  <si>
    <t>peptide_VSE</t>
  </si>
  <si>
    <t>GITQGPNESPSAFLER</t>
  </si>
  <si>
    <t>sp|A2AAE1|BLTP1_MOUSE</t>
  </si>
  <si>
    <t>GTTDGP-ECPTAFLER</t>
  </si>
  <si>
    <t>II_1092774|TX=10090</t>
  </si>
  <si>
    <t>NNNPSFSEDPGK</t>
  </si>
  <si>
    <t>sp|Q6ZWQ0|SYNE2_MOUSE</t>
  </si>
  <si>
    <t>NPSFSEDP</t>
  </si>
  <si>
    <t>NPSFSEEP</t>
  </si>
  <si>
    <t>GVEVFSSVSPQGGGAGK</t>
  </si>
  <si>
    <t>sp|Q68ED2|GRM7_MOUSE</t>
  </si>
  <si>
    <t>GVEVFSSVSPQGGG</t>
  </si>
  <si>
    <t>GVESFTQISKEAGG</t>
  </si>
  <si>
    <t>II_1135118|TX=10090</t>
  </si>
  <si>
    <t>MTEEEVEMLVAGHEDSNGCINYEELVR</t>
  </si>
  <si>
    <t>sp|Q60605|MYL6_MOUSE</t>
  </si>
  <si>
    <t>MTEEEVEMLVAGHEDSNGCINYEAFVR</t>
  </si>
  <si>
    <t>II_3465872|TX=10090</t>
  </si>
  <si>
    <t>AMIENFSAK</t>
  </si>
  <si>
    <t>sp|Q3UX61|NAA11_MOUSE</t>
  </si>
  <si>
    <t>AMIENFGAK</t>
  </si>
  <si>
    <t>smORFchr18:80211493-80211931</t>
  </si>
  <si>
    <t>QRTEQGLEWIGR</t>
  </si>
  <si>
    <t>sp|P01750|HVM06_MOUSE</t>
  </si>
  <si>
    <t>QRPGQGLEWIGR</t>
  </si>
  <si>
    <t>SPROMMU10043</t>
  </si>
  <si>
    <t>DYYMHWVK</t>
  </si>
  <si>
    <t>sp|P06330|HVM51_MOUSE</t>
  </si>
  <si>
    <t>DYYMNWVK</t>
  </si>
  <si>
    <t>EPLVQREDQAAPEPSCVPK</t>
  </si>
  <si>
    <t>sp|Q8R4U0|STAB2_MOUSE</t>
  </si>
  <si>
    <t>PLVQREDQAAPEPSCVP</t>
  </si>
  <si>
    <t>PLYETSTPAAPEPSCDP</t>
  </si>
  <si>
    <t>SPROMMU103645</t>
  </si>
  <si>
    <t>ENLMTDTAPLCSHHQTR</t>
  </si>
  <si>
    <t>sp|Q8VI78|PLA1A_MOUSE</t>
  </si>
  <si>
    <t>LMTDTAPLCSHH</t>
  </si>
  <si>
    <t>LTTSSAPYCVHH</t>
  </si>
  <si>
    <t>SPROMMU10382</t>
  </si>
  <si>
    <t>MVLHHPVPAAPAFLLPTR</t>
  </si>
  <si>
    <t>sp|Q6PDN3|MYLK_MOUSE</t>
  </si>
  <si>
    <t>PVPAAPAFLLPTR</t>
  </si>
  <si>
    <t>PLTEAPAFILPPR</t>
  </si>
  <si>
    <t>RCEENCLSCEGSSR</t>
  </si>
  <si>
    <t>sp|Q925I4|TS1R2_MOUSE</t>
  </si>
  <si>
    <t>EENCLSCEGS</t>
  </si>
  <si>
    <t>EFNCLSCPGS</t>
  </si>
  <si>
    <t>SPROMMU104789</t>
  </si>
  <si>
    <t>CEENCLSCEGSSR</t>
  </si>
  <si>
    <t>QRPGQGLEWIGEIDPSDSYTNYNQK</t>
  </si>
  <si>
    <t>QRPGQGLEWIGRIHPSDSDTNYNQK</t>
  </si>
  <si>
    <t>SPROMMU104823</t>
  </si>
  <si>
    <t>FHGNFDFDDLVR</t>
  </si>
  <si>
    <t>sp|O35387|HAX1_MOUSE</t>
  </si>
  <si>
    <t>FHGNFGFDDLVR</t>
  </si>
  <si>
    <t>SPROMMU105458</t>
  </si>
  <si>
    <t>FHDPDSAVVAQHLTNTVFVDR</t>
  </si>
  <si>
    <t>sp|Q9JJ28|FLII_MOUSE</t>
  </si>
  <si>
    <t>DPDSAVVAQHLTNTVF</t>
  </si>
  <si>
    <t>DPDEAKLAEDILNTMF</t>
  </si>
  <si>
    <t>SPROMMU106540</t>
  </si>
  <si>
    <t>FTTDAITLAMNR</t>
  </si>
  <si>
    <t>sp|P28076|PSB9_MOUSE</t>
  </si>
  <si>
    <t>FTTNAITLAMNR</t>
  </si>
  <si>
    <t>SPROMMU106907</t>
  </si>
  <si>
    <t>LVAGHEDSNGCINYEELVR</t>
  </si>
  <si>
    <t>LVAGHEDSNGCINYEAFVR</t>
  </si>
  <si>
    <t>SPROMMU107192</t>
  </si>
  <si>
    <t>LISWYDNEYGFSNR</t>
  </si>
  <si>
    <t>sp|P16858|G3P_MOUSE</t>
  </si>
  <si>
    <t>LISWYDNEYGYSNR</t>
  </si>
  <si>
    <t>SPROMMU109685</t>
  </si>
  <si>
    <t>PGMVVTFASVNVTTEVK</t>
  </si>
  <si>
    <t>sp|P10126|EF1A1_MOUSE</t>
  </si>
  <si>
    <t>PGMVVTFAPVNVTTEVK</t>
  </si>
  <si>
    <t>SPROMMU11158</t>
  </si>
  <si>
    <t>LLSVLCPEESMIHSSAQIVNK</t>
  </si>
  <si>
    <t>sp|P60882|MEGF8_MOUSE</t>
  </si>
  <si>
    <t>LCPEESMIHSSAQIVNK</t>
  </si>
  <si>
    <t>LCPENCNAHTGAGICNQ</t>
  </si>
  <si>
    <t>SPROMMU112165</t>
  </si>
  <si>
    <t>HLIGADSLIGPDTQIGEK</t>
  </si>
  <si>
    <t>sp|A2AG58|BCLA3_MOUSE</t>
  </si>
  <si>
    <t>HKVKADSFVTPDITLNER</t>
  </si>
  <si>
    <t>IYPGDGDTNYNGK</t>
  </si>
  <si>
    <t>sp|P06327|HVM52_MOUSE</t>
  </si>
  <si>
    <t>IYPGDGSTKYNEK</t>
  </si>
  <si>
    <t>SPROMMU11325</t>
  </si>
  <si>
    <t>PGVHCADVEVIATLK</t>
  </si>
  <si>
    <t>sp|P10889|CXCL2_MOUSE</t>
  </si>
  <si>
    <t>PGPHCAQTEVIATLK</t>
  </si>
  <si>
    <t>SPROMMU113435</t>
  </si>
  <si>
    <t>TCLDPNAPGVK</t>
  </si>
  <si>
    <t>sp|Q9WVL7|CXL15_MOUSE</t>
  </si>
  <si>
    <t>CLDPNAPGVK</t>
  </si>
  <si>
    <t>CLDPDAPWVK</t>
  </si>
  <si>
    <t>TCLDPNAPGVKR</t>
  </si>
  <si>
    <t>sp|P15920|VPP2_MOUSE</t>
  </si>
  <si>
    <t>LDPNAPGVKR</t>
  </si>
  <si>
    <t>LDPNIPGVFR</t>
  </si>
  <si>
    <t>SSFQESCQISHNPDIVK</t>
  </si>
  <si>
    <t>sp|Q3UMF0|COBL1_MOUSE</t>
  </si>
  <si>
    <t>QESCQISHNPDIVK</t>
  </si>
  <si>
    <t>RESCQISHNPDIVK</t>
  </si>
  <si>
    <t>SPROMMU117123</t>
  </si>
  <si>
    <t>NLATTVTEEILEK</t>
  </si>
  <si>
    <t>sp|Q7TMK9|HNRPQ_MOUSE</t>
  </si>
  <si>
    <t>NLANTVTEEILEK</t>
  </si>
  <si>
    <t>SPROMMU118339</t>
  </si>
  <si>
    <t>DYAFVHFEDR</t>
  </si>
  <si>
    <t>sp|Q5YD48|A1CF_MOUSE</t>
  </si>
  <si>
    <t>DYAFVHFSNR</t>
  </si>
  <si>
    <t>LYLDIHNYCVLAK</t>
  </si>
  <si>
    <t>sp|B2RRF6|Z518A_MOUSE</t>
  </si>
  <si>
    <t>DIHNYCV</t>
  </si>
  <si>
    <t>DMHNYCI</t>
  </si>
  <si>
    <t>SPROMMU118986</t>
  </si>
  <si>
    <t>ATVNLLGDEK</t>
  </si>
  <si>
    <t>sp|Q60870|REEP5_MOUSE</t>
  </si>
  <si>
    <t>ATVNLLGDVK</t>
  </si>
  <si>
    <t>SPROMMU120510</t>
  </si>
  <si>
    <t>LQSSQEPEAPPPR</t>
  </si>
  <si>
    <t>sp|Q9Z0W1|TNR16_MOUSE</t>
  </si>
  <si>
    <t>SSQEPEAPPPR</t>
  </si>
  <si>
    <t>STQEPEAPPER</t>
  </si>
  <si>
    <t>SPROMMU121269</t>
  </si>
  <si>
    <t>LQSSQEPEAPPPRDVALLQGR</t>
  </si>
  <si>
    <t>SSQEPEAPPPRDV</t>
  </si>
  <si>
    <t>STQEPEAPPERDL</t>
  </si>
  <si>
    <t>GGDVAVELPFTLMHPK</t>
  </si>
  <si>
    <t>sp|Q91YI4|ARRB2_MOUSE</t>
  </si>
  <si>
    <t>GGDVSVELPFVLMHPK</t>
  </si>
  <si>
    <t>SPROMMU12261</t>
  </si>
  <si>
    <t>LLISEGNTLRPGVPSR</t>
  </si>
  <si>
    <t>sp|P61161|ARP2_MOUSE</t>
  </si>
  <si>
    <t>IVLSGGSTMYPGLPSR</t>
  </si>
  <si>
    <t>SPROMMU123252</t>
  </si>
  <si>
    <t>ERDLLVVDTPGLFDTK</t>
  </si>
  <si>
    <t>sp|G3X987|GIMA9_MOUSE</t>
  </si>
  <si>
    <t>RDLLVVDTPGLFDTK</t>
  </si>
  <si>
    <t>KNLVVVDTPGLFDTK</t>
  </si>
  <si>
    <t>SPROMMU123906</t>
  </si>
  <si>
    <t>VTITCSVSSSISSSNLHWYQQK</t>
  </si>
  <si>
    <t>sp|P01677|KV6A3_MOUSE</t>
  </si>
  <si>
    <t>VTITCSASSSVS--YMHWYQQK</t>
  </si>
  <si>
    <t>SPROMMU124037</t>
  </si>
  <si>
    <t>PWIYGTSNLASGVPVR</t>
  </si>
  <si>
    <t>PWIYEISKLASGVPAR</t>
  </si>
  <si>
    <t>ITITCSASSSISSNYLHWYQQK</t>
  </si>
  <si>
    <t>sp|P01678|KV6A4_MOUSE</t>
  </si>
  <si>
    <t>SPROMMU124039</t>
  </si>
  <si>
    <t>FICIYPAYLNNK</t>
  </si>
  <si>
    <t>sp|Q9D7A6|SRP19_MOUSE</t>
  </si>
  <si>
    <t>FIFIYPAYLNNK</t>
  </si>
  <si>
    <t>SPROMMU124794</t>
  </si>
  <si>
    <t>AVTVYTNYPLPGEAFNR</t>
  </si>
  <si>
    <t>sp|A0A286YEC0|CIROP_MOUSE</t>
  </si>
  <si>
    <t>TVYTNYPLPGEAFN</t>
  </si>
  <si>
    <t>TYYSRAPVPGEAWD</t>
  </si>
  <si>
    <t>SPROMMU12588</t>
  </si>
  <si>
    <t>CNFELLEVPWK</t>
  </si>
  <si>
    <t>sp|P21460|CYTC_MOUSE</t>
  </si>
  <si>
    <t>CSFQIYSVPWK</t>
  </si>
  <si>
    <t>SPROMMU126451</t>
  </si>
  <si>
    <t>YYLTLDIESTECRK</t>
  </si>
  <si>
    <t>sp|Q9QXC1|FETUB_MOUSE</t>
  </si>
  <si>
    <t>YYLTLDIESTEC</t>
  </si>
  <si>
    <t>FYLTLDVLETDC</t>
  </si>
  <si>
    <t>VSGEHMDLTTCPLAAGGQQEK</t>
  </si>
  <si>
    <t>sp|Q8BJG4|MOB3C_MOUSE</t>
  </si>
  <si>
    <t>GEHMDLTTCPLAAGG</t>
  </si>
  <si>
    <t>AEHCSESSCPVMAGG</t>
  </si>
  <si>
    <t>YYLTLDIESTECR</t>
  </si>
  <si>
    <t>GSELESAMETLINVFHAHSGK</t>
  </si>
  <si>
    <t>sp|P56565|S10A1_MOUSE</t>
  </si>
  <si>
    <t>GSELESAMETLINVFHAHSGQ</t>
  </si>
  <si>
    <t>SPROMMU127218</t>
  </si>
  <si>
    <t>LFQHLHEGYAAPPSPPQTR</t>
  </si>
  <si>
    <t>sp|Q61508|ECM1_MOUSE</t>
  </si>
  <si>
    <t>LFQHLHE-GYAAPPSPPQTR</t>
  </si>
  <si>
    <t>LFQHLHEVGYAAPPSPPQTR</t>
  </si>
  <si>
    <t>SPROMMU127604</t>
  </si>
  <si>
    <t>SPEPGQTWTHEVFSSR</t>
  </si>
  <si>
    <t>sp|Q9D9M2|UBP12_MOUSE</t>
  </si>
  <si>
    <t>SPEPGQTWTHEVF</t>
  </si>
  <si>
    <t>TPDP--TWVHEIF</t>
  </si>
  <si>
    <t>SPROMMU127863</t>
  </si>
  <si>
    <t>QGPQQDPQELQCIK</t>
  </si>
  <si>
    <t>sp|Q9DD06|RARR2_MOUSE</t>
  </si>
  <si>
    <t>QGPQ-DPQELQCIK</t>
  </si>
  <si>
    <t>SPROMMU12841</t>
  </si>
  <si>
    <t>TAPPPPGASHTIK</t>
  </si>
  <si>
    <t>sp|P28334|5HT1B_MOUSE</t>
  </si>
  <si>
    <t>APPPPGASHT</t>
  </si>
  <si>
    <t>APPPPAASQT</t>
  </si>
  <si>
    <t>SPROMMU128511</t>
  </si>
  <si>
    <t>VVAGVAAALAHK</t>
  </si>
  <si>
    <t>sp|P02089|HBB2_MOUSE</t>
  </si>
  <si>
    <t>VVAGVATALAHK</t>
  </si>
  <si>
    <t>SPROMMU128628</t>
  </si>
  <si>
    <t>DFTPAAQAAFQKVVAGVAAALAHK</t>
  </si>
  <si>
    <t>sp|P02088|HBB1_MOUSE</t>
  </si>
  <si>
    <t>DFTPAAQAAFQKVVAGVATALAHK</t>
  </si>
  <si>
    <t>IANVDTADTATYYCAR</t>
  </si>
  <si>
    <t>sp|P18531|HVM60_MOUSE</t>
  </si>
  <si>
    <t>NVDTADTATYYCAR</t>
  </si>
  <si>
    <t>SVTTEDTATYYCAR</t>
  </si>
  <si>
    <t>SPROMMU129160</t>
  </si>
  <si>
    <t>ITSVDTADTATYYCAR</t>
  </si>
  <si>
    <t>LNSVTTEDTATYYCAR</t>
  </si>
  <si>
    <t>SPROMMU129209</t>
  </si>
  <si>
    <t>GFPVGNVVTDLGLDLGSLSAR</t>
  </si>
  <si>
    <t>sp|Q91XY4|PCDG4_MOUSE</t>
  </si>
  <si>
    <t>VGNVVTDLGLDLGSLSAR</t>
  </si>
  <si>
    <t>VGNLAADLGLEPGKLAER</t>
  </si>
  <si>
    <t>SPROMMU130308</t>
  </si>
  <si>
    <t>SGGADPSLQQGEGSK</t>
  </si>
  <si>
    <t>SGGADPSLQQGEGS</t>
  </si>
  <si>
    <t>SGGADPILQQGEGS</t>
  </si>
  <si>
    <t>SPROMMU133387</t>
  </si>
  <si>
    <t>FTGSGSGTDFTLTISSVK</t>
  </si>
  <si>
    <t>sp|P01632|KV1A1_MOUSE</t>
  </si>
  <si>
    <t>FTGSGSGTDFTLTISSVQ</t>
  </si>
  <si>
    <t>SPROMMU134290</t>
  </si>
  <si>
    <t>ASENVGTYVSWYQQKPEQSPK</t>
  </si>
  <si>
    <t>sp|P01634|KV5A2_MOUSE</t>
  </si>
  <si>
    <t>ASENVVTYVSWYQQKPEQSPK</t>
  </si>
  <si>
    <t>SPROMMU134741</t>
  </si>
  <si>
    <t>ASENVGTYVSWYQQK</t>
  </si>
  <si>
    <t>ASENVVTYVSWYQQK</t>
  </si>
  <si>
    <t>ASQDVGTAVAWYQQK</t>
  </si>
  <si>
    <t>sp|P01633|KV5A1_MOUSE</t>
  </si>
  <si>
    <t>ASQDVSTTVAWYQQK</t>
  </si>
  <si>
    <t>SPROMMU135042</t>
  </si>
  <si>
    <t>ASQNVGTNVAWYQQK</t>
  </si>
  <si>
    <t>sp|P84750|KVM5_MOUSE</t>
  </si>
  <si>
    <t>ASQNVGTNVAWYQKK</t>
  </si>
  <si>
    <t>SPROMMU135043</t>
  </si>
  <si>
    <t>MNSLQTDDTAMYYCAK</t>
  </si>
  <si>
    <t>sp|P01820|HVM44_MOUSE</t>
  </si>
  <si>
    <t>MNSLQTDDTAMYYCA</t>
  </si>
  <si>
    <t>MNSLQTDDTARYYCA</t>
  </si>
  <si>
    <t>SPROMMU135113</t>
  </si>
  <si>
    <t>GTAEMVLELYVSDREGNDATGDGTK</t>
  </si>
  <si>
    <t>sp|Q8BP47|SYNC_MOUSE</t>
  </si>
  <si>
    <t>GTAEMVL-ELYVSDREGNDATGDGTK</t>
  </si>
  <si>
    <t>GTAEMVLAELYVSDREGNDATGDGTK</t>
  </si>
  <si>
    <t>SPROMMU135772</t>
  </si>
  <si>
    <t>ASGYTFTDYYMHWVK</t>
  </si>
  <si>
    <t>ASGYTFTDYYMNWVK</t>
  </si>
  <si>
    <t>SPROMMU135806</t>
  </si>
  <si>
    <t>QRPGQGLEWIGDIYPGSGSTNYNEK</t>
  </si>
  <si>
    <t>QRPGQGLEWIGWIYPGDGSTKYNEK</t>
  </si>
  <si>
    <t>SPROMMU135809</t>
  </si>
  <si>
    <t>GLEWIGEINPDSSTINYAPSLK</t>
  </si>
  <si>
    <t>sp|P01806|HVM36_MOUSE</t>
  </si>
  <si>
    <t>GLEWIGEINPDSSTINYTPSLK</t>
  </si>
  <si>
    <t>SPROMMU13657</t>
  </si>
  <si>
    <t>LLQSGGGLVQPGGSLK</t>
  </si>
  <si>
    <t>sp|P01791|HVM22_MOUSE</t>
  </si>
  <si>
    <t>LVESGGGLVQPGGSLR</t>
  </si>
  <si>
    <t>VTITCSASSSVSYMHWFQQK</t>
  </si>
  <si>
    <t>VTITCSASSSVSYMHWYQQK</t>
  </si>
  <si>
    <t>SPROMMU136892</t>
  </si>
  <si>
    <t>LWIYSTSNLASGVPAR</t>
  </si>
  <si>
    <t>sp|P04940|KV6A6_MOUSE</t>
  </si>
  <si>
    <t>WIYSTSNLASGVPAR</t>
  </si>
  <si>
    <t>WIYDTSKLASGVPAR</t>
  </si>
  <si>
    <t>MEAEDAATYYCQQR</t>
  </si>
  <si>
    <t>sp|P01661|KV3A9_MOUSE</t>
  </si>
  <si>
    <t>MEAEDAATYYCQQ</t>
  </si>
  <si>
    <t>VEADDAATYYCQQ</t>
  </si>
  <si>
    <t>GMVPDQAGR</t>
  </si>
  <si>
    <t>sp|O54974|LEG7_MOUSE</t>
  </si>
  <si>
    <t>GLVPDQAGR</t>
  </si>
  <si>
    <t>SPROMMU136967</t>
  </si>
  <si>
    <t>GLIYHGTNLEDGVPSR</t>
  </si>
  <si>
    <t>sp|P01652|KV5AK_MOUSE</t>
  </si>
  <si>
    <t>LIYHGTNLEDGVPSR</t>
  </si>
  <si>
    <t>LIYGASNLEDGVPSR</t>
  </si>
  <si>
    <t>SPROMMU137094</t>
  </si>
  <si>
    <t>DPSPCPVITVEHFK</t>
  </si>
  <si>
    <t>sp|Q811B1|XYLT1_MOUSE</t>
  </si>
  <si>
    <t>DPSPCPVITVE</t>
  </si>
  <si>
    <t>DPQPSPLITLE</t>
  </si>
  <si>
    <t>SPROMMU13740</t>
  </si>
  <si>
    <t>LLIYSTSNLNSGVPSR</t>
  </si>
  <si>
    <t>sp|P01641|KV5A8_MOUSE</t>
  </si>
  <si>
    <t>LIYSTSNLNSGVPSR</t>
  </si>
  <si>
    <t>LIYETSNLDSGVPKR</t>
  </si>
  <si>
    <t>SPROMMU142978</t>
  </si>
  <si>
    <t>GNLDWYQQK</t>
  </si>
  <si>
    <t>sp|P01643|KV5AA_MOUSE</t>
  </si>
  <si>
    <t>LDWYQQK</t>
  </si>
  <si>
    <t>LBWYQQK</t>
  </si>
  <si>
    <t>IPIHNEDITYDELVLMMQR</t>
  </si>
  <si>
    <t>sp|E9Q5Z5|FANCF_MOUSE</t>
  </si>
  <si>
    <t>IPIHNEDITYDELVLMMQ</t>
  </si>
  <si>
    <t>VPTQMEDMPWEELCLRLQ</t>
  </si>
  <si>
    <t>SPROMMU145035</t>
  </si>
  <si>
    <t>LTLFVNGQPRPLESSQVK</t>
  </si>
  <si>
    <t>sp|P32115|PAX4_MOUSE</t>
  </si>
  <si>
    <t>LFVNGQPRPLESSQ</t>
  </si>
  <si>
    <t>LFVNGRPLPLDTRQ</t>
  </si>
  <si>
    <t>SDLLNALEEVIDNPFYK</t>
  </si>
  <si>
    <t>sp|P17717|UDB17_MOUSE</t>
  </si>
  <si>
    <t>SDVLNALEEVIENPFYK</t>
  </si>
  <si>
    <t>SPROMMU147108</t>
  </si>
  <si>
    <t>IQLAMVCYSPDFER</t>
  </si>
  <si>
    <t>sp|P15626|GSTM2_MOUSE</t>
  </si>
  <si>
    <t>IQLAMVCYSPDFEK</t>
  </si>
  <si>
    <t>SPROMMU147469</t>
  </si>
  <si>
    <t>VFEFQLASEDMK</t>
  </si>
  <si>
    <t>sp|Q91WR5|AK1CL_MOUSE</t>
  </si>
  <si>
    <t>VFEFQLSSEDMK</t>
  </si>
  <si>
    <t>SPROMMU147472</t>
  </si>
  <si>
    <t>VADYFVVAGLTDISK</t>
  </si>
  <si>
    <t>sp|A6H8H2|DEN4C_MOUSE</t>
  </si>
  <si>
    <t>VADYFVVAGLTDIS</t>
  </si>
  <si>
    <t>VTDYFVVAGLTDTS</t>
  </si>
  <si>
    <t>SPROMMU148585</t>
  </si>
  <si>
    <t>EPITDVSVIIK</t>
  </si>
  <si>
    <t>sp|Q3U1Y4|DEN4B_MOUSE</t>
  </si>
  <si>
    <t>EPITDVAVIAR</t>
  </si>
  <si>
    <t>EDLHDMLASMGK</t>
  </si>
  <si>
    <t>sp|Q9CQ19|MYL9_MOUSE</t>
  </si>
  <si>
    <t>EDLHDMLASLGK</t>
  </si>
  <si>
    <t>SPROMMU148946</t>
  </si>
  <si>
    <t>DGFIDKEDLHDMLASMGK</t>
  </si>
  <si>
    <t>sp|Q3THE2|ML12B_MOUSE</t>
  </si>
  <si>
    <t>DGFIDKEDLHDMLASLGK</t>
  </si>
  <si>
    <t>QGVDDAFYTLVR</t>
  </si>
  <si>
    <t>sp|Q61411|RASH_MOUSE</t>
  </si>
  <si>
    <t>QGVEDAFYTLVR</t>
  </si>
  <si>
    <t>SPROMMU149224</t>
  </si>
  <si>
    <t>TRQGVDDAFYTLVR</t>
  </si>
  <si>
    <t>sp|P08556|RASN_MOUSE</t>
  </si>
  <si>
    <t>TRQGVEDAFYTLVR</t>
  </si>
  <si>
    <t>SSVYLQMNSLR</t>
  </si>
  <si>
    <t>sp|P01796|HVM27_MOUSE</t>
  </si>
  <si>
    <t>SSVYLQMNNLR</t>
  </si>
  <si>
    <t>SPROMMU149425</t>
  </si>
  <si>
    <t>HSLALYPLITCLLCVSQK</t>
  </si>
  <si>
    <t>sp|E9Q8I9|FRY_MOUSE</t>
  </si>
  <si>
    <t>HSLALYPLVTCLLCVSQK</t>
  </si>
  <si>
    <t>SPROMMU15012</t>
  </si>
  <si>
    <t>NEVNVPCLK</t>
  </si>
  <si>
    <t>NEVNVPCLR</t>
  </si>
  <si>
    <t>GTQGATAGASSELDASK</t>
  </si>
  <si>
    <t>sp|Q5DU41|LRC8B_MOUSE</t>
  </si>
  <si>
    <t>ATAGASSELDASK</t>
  </si>
  <si>
    <t>STSGGSADIDASK</t>
  </si>
  <si>
    <t>SPROMMU15104</t>
  </si>
  <si>
    <t>ASQSISDYLHWYQQK</t>
  </si>
  <si>
    <t>sp|P01645|KV5AC_MOUSE</t>
  </si>
  <si>
    <t>ASQDISNYLNWYQQK</t>
  </si>
  <si>
    <t>SPROMMU152565</t>
  </si>
  <si>
    <t>YASQSISGIPSR</t>
  </si>
  <si>
    <t>sp|P01642|KV5A9_MOUSE</t>
  </si>
  <si>
    <t>YASESISGIPSR</t>
  </si>
  <si>
    <t>VVDLMAHMASK</t>
  </si>
  <si>
    <t>VVDLMAYMASK</t>
  </si>
  <si>
    <t>SPROMMU153788</t>
  </si>
  <si>
    <t>NPENWAYYK</t>
  </si>
  <si>
    <t>sp|Q80UM3|NAA15_MOUSE</t>
  </si>
  <si>
    <t>NPGNWAYYK</t>
  </si>
  <si>
    <t>SPROMMU154703</t>
  </si>
  <si>
    <t>FSVCVLGDQQHCDEAK</t>
  </si>
  <si>
    <t>sp|P53026|RL10A_MOUSE</t>
  </si>
  <si>
    <t>FSVCVLGDQQHCDERK</t>
  </si>
  <si>
    <t>SPROMMU1559</t>
  </si>
  <si>
    <t>VESIYLNVESVSTHR</t>
  </si>
  <si>
    <t>sp|P70266|F261_MOUSE</t>
  </si>
  <si>
    <t>VESIYLNVEAVNTHR</t>
  </si>
  <si>
    <t>SPROMMU158188</t>
  </si>
  <si>
    <t>HYPGDFSPEMHASLDK</t>
  </si>
  <si>
    <t>sp|P01942|HBA_MOUSE</t>
  </si>
  <si>
    <t>HHPADFTPAVHASLDK</t>
  </si>
  <si>
    <t>SPROMMU159678</t>
  </si>
  <si>
    <t>LCVDPANFQFFSHCLLVTLAR</t>
  </si>
  <si>
    <t>LCVDPANFQFFSHCLLVTLA</t>
  </si>
  <si>
    <t>LRVDPVNFKLLSHCLLVTLA</t>
  </si>
  <si>
    <t>VNADEVGGEALGR</t>
  </si>
  <si>
    <t>VNSDEVGGEALGR</t>
  </si>
  <si>
    <t>SPROMMU159767</t>
  </si>
  <si>
    <t>IASVDTADTATYYCAR</t>
  </si>
  <si>
    <t>SVDTADTATYYCAR</t>
  </si>
  <si>
    <t>SPROMMU160038</t>
  </si>
  <si>
    <t>DNSQSILYLQMNALR</t>
  </si>
  <si>
    <t>sp|P01789|HVM20_MOUSE</t>
  </si>
  <si>
    <t>DTSQSILYLQMNALR</t>
  </si>
  <si>
    <t>SPROMMU162577</t>
  </si>
  <si>
    <t>ANGYTTEYSASVK</t>
  </si>
  <si>
    <t>ANDYTTEYSASVK</t>
  </si>
  <si>
    <t>IGGDSGLSSR</t>
  </si>
  <si>
    <t>IGGDSGLSAR</t>
  </si>
  <si>
    <t>SPROMMU163276</t>
  </si>
  <si>
    <t>ATGYTFTGYWIEWVK</t>
  </si>
  <si>
    <t>sp|P01754|HVM10_MOUSE</t>
  </si>
  <si>
    <t>ASGYTFTSYWMHWVK</t>
  </si>
  <si>
    <t>SPROMMU163291</t>
  </si>
  <si>
    <t>QRPGHGLEWIGEILPGSGSTNYNEK</t>
  </si>
  <si>
    <t>sp|P01748|HVM04_MOUSE</t>
  </si>
  <si>
    <t>QRPGQGLEWIGNINPGNGGTNYNEK</t>
  </si>
  <si>
    <t>SLTSEDTAVYYCAR</t>
  </si>
  <si>
    <t>sp|P01753|HVM09_MOUSE</t>
  </si>
  <si>
    <t>SLTSEDSAVYYCAR</t>
  </si>
  <si>
    <t>SPROMMU164006</t>
  </si>
  <si>
    <t>ASGYTFTDYNMDWVK</t>
  </si>
  <si>
    <t>sp|P01758|HVM14_MOUSE</t>
  </si>
  <si>
    <t>ASGYTFTDYNMHWVK</t>
  </si>
  <si>
    <t>QRPGQGLEWIGNINPSNGGTNYNEK</t>
  </si>
  <si>
    <t>SPROMMU165366</t>
  </si>
  <si>
    <t>ASGYTFTEYTIHWVK</t>
  </si>
  <si>
    <t>SPROMMU165413</t>
  </si>
  <si>
    <t>ESDLSHVQNK</t>
  </si>
  <si>
    <t>DSDLSHVQNK</t>
  </si>
  <si>
    <t>SPROMMU165416</t>
  </si>
  <si>
    <t>EDIVFETDHILESLYR</t>
  </si>
  <si>
    <t>sp|Q9D3G5|STX11_MOUSE</t>
  </si>
  <si>
    <t>EDIVFETDNILESLYR</t>
  </si>
  <si>
    <t>SPROMMU16797</t>
  </si>
  <si>
    <t>LPGLFQPGCSGAK</t>
  </si>
  <si>
    <t>sp|A2AS89|GDAH_MOUSE</t>
  </si>
  <si>
    <t>GLFQPGCSGAK</t>
  </si>
  <si>
    <t>GLFRPGCPGIR</t>
  </si>
  <si>
    <t>SPROMMU169698</t>
  </si>
  <si>
    <t>SSQSIVHSNGNTYLEWYLQK</t>
  </si>
  <si>
    <t>sp|P01631|KV2A7_MOUSE</t>
  </si>
  <si>
    <t>SSQSLVHSNGNTYLNWYLQK</t>
  </si>
  <si>
    <t>SPROMMU169800</t>
  </si>
  <si>
    <t>ENAQYFTHETEVFTNR</t>
  </si>
  <si>
    <t>sp|Q8BHP2|NUTM1_MOUSE</t>
  </si>
  <si>
    <t>ENAQYFTHETEVFTN</t>
  </si>
  <si>
    <t>DNQESYTHETTKLTN</t>
  </si>
  <si>
    <t>SPROMMU17439</t>
  </si>
  <si>
    <t>AEPCADWLR</t>
  </si>
  <si>
    <t>sp|Q925E0|SNTG2_MOUSE</t>
  </si>
  <si>
    <t>AQDCADWLR</t>
  </si>
  <si>
    <t>ADGYNQPDSK</t>
  </si>
  <si>
    <t>ADGYNQPDTK</t>
  </si>
  <si>
    <t>SPROMMU17461</t>
  </si>
  <si>
    <t>IEFNHNSIMNYK</t>
  </si>
  <si>
    <t>sp|P06909|CFAH_MOUSE</t>
  </si>
  <si>
    <t>EFNHNSIMNYK</t>
  </si>
  <si>
    <t>EFTHNSTMDYK</t>
  </si>
  <si>
    <t>SPROMMU177415</t>
  </si>
  <si>
    <t>WDPEPNCIR</t>
  </si>
  <si>
    <t>WDPEPNCI</t>
  </si>
  <si>
    <t>WDPEPNCT</t>
  </si>
  <si>
    <t>STAIEAIKPK</t>
  </si>
  <si>
    <t>STGIEAIKPK</t>
  </si>
  <si>
    <t>MPEDGLSEDK</t>
  </si>
  <si>
    <t>sp|Q9QXY7|XK_MOUSE</t>
  </si>
  <si>
    <t>MPEDGLSED</t>
  </si>
  <si>
    <t>MPKDGLSEE</t>
  </si>
  <si>
    <t>SPROMMU178730</t>
  </si>
  <si>
    <t>MPEDGLSEDKK</t>
  </si>
  <si>
    <t>VDEAVAVLQAHHAK</t>
  </si>
  <si>
    <t>sp|P29341|PABP1_MOUSE</t>
  </si>
  <si>
    <t>VDEAVAVLQAHQAK</t>
  </si>
  <si>
    <t>SPROMMU179443</t>
  </si>
  <si>
    <t>SNLCLPICPTNPETTEFLGNAVNVK</t>
  </si>
  <si>
    <t>sp|P35461|LY6G_MOUSE</t>
  </si>
  <si>
    <t>SNLCLPICPTTLDNTEITGNAVNVK</t>
  </si>
  <si>
    <t>SPROMMU179532</t>
  </si>
  <si>
    <t>LECYCCLGVPLETSCK</t>
  </si>
  <si>
    <t>LECYNCIGVPPETSCN</t>
  </si>
  <si>
    <t>SDLQAMTMPTTPTK</t>
  </si>
  <si>
    <t>sp|P35347|CRFR1_MOUSE</t>
  </si>
  <si>
    <t>QAMTMPTTPTK</t>
  </si>
  <si>
    <t>RAMSIPTSPTR</t>
  </si>
  <si>
    <t>SPROMMU17954</t>
  </si>
  <si>
    <t>SEAFLPFSTGK</t>
  </si>
  <si>
    <t>sp|P12791|CP2BA_MOUSE</t>
  </si>
  <si>
    <t>SEAFLPFSTGQ</t>
  </si>
  <si>
    <t>SPROMMU180257</t>
  </si>
  <si>
    <t>AAQAAVASYNMGSDSLYYFR</t>
  </si>
  <si>
    <t>sp|Q80ZN5|CST13_MOUSE</t>
  </si>
  <si>
    <t>AVASYNMGSDSLYYFR</t>
  </si>
  <si>
    <t>AMKEYNKASNDLYNFR</t>
  </si>
  <si>
    <t>SPROMMU18064</t>
  </si>
  <si>
    <t>QLNTALPQEFAALTK</t>
  </si>
  <si>
    <t>sp|P60469|LIPA3_MOUSE</t>
  </si>
  <si>
    <t>QLSIALPQEFAALTK</t>
  </si>
  <si>
    <t>SPROMMU181419</t>
  </si>
  <si>
    <t>ASGYTFTSYGISWVK</t>
  </si>
  <si>
    <t>sp|P01747|HVM03_MOUSE</t>
  </si>
  <si>
    <t>ASGYTFTSYGINWVK</t>
  </si>
  <si>
    <t>SPROMMU182919</t>
  </si>
  <si>
    <t>TGQGLEWIGEIYPR</t>
  </si>
  <si>
    <t>sp|P01749|HVM05_MOUSE</t>
  </si>
  <si>
    <t>GQGLEWIGEIYP</t>
  </si>
  <si>
    <t>GQGLEWIGNIYP</t>
  </si>
  <si>
    <t>FFLLCGLGGIISCGTTHTALVPLDLIK</t>
  </si>
  <si>
    <t>sp|Q8VEM8|S25A3_MOUSE</t>
  </si>
  <si>
    <t>YYALCGFGGVLSCGLTHTAVVPLDLVK</t>
  </si>
  <si>
    <t>SPROMMU183092</t>
  </si>
  <si>
    <t>ASQEISGYLSWLQQKPDGTIK</t>
  </si>
  <si>
    <t>sp|P04946|KV5AM_MOUSE</t>
  </si>
  <si>
    <t>ASQDISNYLNWYQQKPDGTVK</t>
  </si>
  <si>
    <t>SPROMMU185558</t>
  </si>
  <si>
    <t>YLSISNIQPEDEAIYICGVGDTIK</t>
  </si>
  <si>
    <t>sp|P13373|VPB1B_MOUSE</t>
  </si>
  <si>
    <t>YLSISNIQPEDEAIYICGVG</t>
  </si>
  <si>
    <t>YLSISELQPEDEAVYYCAVG</t>
  </si>
  <si>
    <t>SPROMMU185711</t>
  </si>
  <si>
    <t>LISWYDNQYGYSNR</t>
  </si>
  <si>
    <t>SPROMMU187002</t>
  </si>
  <si>
    <t>ASGYSFTDYNMNWVK</t>
  </si>
  <si>
    <t>SPROMMU189906</t>
  </si>
  <si>
    <t>IYPGSGNTYYNEK</t>
  </si>
  <si>
    <t>SPROMMU19033</t>
  </si>
  <si>
    <t>SSSTAYMQLK</t>
  </si>
  <si>
    <t>sp|P01746|HVM02_MOUSE</t>
  </si>
  <si>
    <t>SSSTAYMQLR</t>
  </si>
  <si>
    <t>SPROMMU19036</t>
  </si>
  <si>
    <t>LCPADDSIKPGDSPVDK</t>
  </si>
  <si>
    <t>sp|Q1EG27|MYO3B_MOUSE</t>
  </si>
  <si>
    <t>LCPADDSIKPG</t>
  </si>
  <si>
    <t>LSPCEDSLKPG</t>
  </si>
  <si>
    <t>SPROMMU19084</t>
  </si>
  <si>
    <t>VYIQSGEDIEFACK</t>
  </si>
  <si>
    <t>IYSHSGEDIEFGCK</t>
  </si>
  <si>
    <t>SPROMMU19118</t>
  </si>
  <si>
    <t>WSEPPTCLHACVIPEDIMER</t>
  </si>
  <si>
    <t>WSEPPTCLHACVIPEDIME</t>
  </si>
  <si>
    <t>WSEPPTCLHACVIPENIME</t>
  </si>
  <si>
    <t>GSPPFLTTCINGHINYPTCV</t>
  </si>
  <si>
    <t>SPPFLTTCINGHINYPTCV</t>
  </si>
  <si>
    <t>SPPFRTKCINGTINYPTCV</t>
  </si>
  <si>
    <t>GLLTPESDVSIAHVLAAR</t>
  </si>
  <si>
    <t>sp|Q3TJZ6|FA98A_MOUSE</t>
  </si>
  <si>
    <t>LLTPESDVSIAHVLAAR</t>
  </si>
  <si>
    <t>LLSPKGKVSVAHLLAAR</t>
  </si>
  <si>
    <t>SPROMMU192274</t>
  </si>
  <si>
    <t>VLMGDVPDR</t>
  </si>
  <si>
    <t>VLMGRVPDR</t>
  </si>
  <si>
    <t>LISWYNNEFGYSNR</t>
  </si>
  <si>
    <t>SPROMMU197606</t>
  </si>
  <si>
    <t>QRPEQGLEWIGYIYPR</t>
  </si>
  <si>
    <t>QRPEQGLEWIGYIYP</t>
  </si>
  <si>
    <t>QRPGQGLEWIGWIYP</t>
  </si>
  <si>
    <t>SPROMMU197641</t>
  </si>
  <si>
    <t>LSVLCQDNFLTQDSEEMVCK</t>
  </si>
  <si>
    <t>LSVLCQDNYLTQDSEEMVCK</t>
  </si>
  <si>
    <t>SPROMMU197870</t>
  </si>
  <si>
    <t>SLTSEDSAVYYCTR</t>
  </si>
  <si>
    <t>sp|P06328|HVM49_MOUSE</t>
  </si>
  <si>
    <t>SPROMMU198645</t>
  </si>
  <si>
    <t>QTPVHGLEWIGAIDPETGGTAYNQK</t>
  </si>
  <si>
    <t>QRPGRGLEWIGRIDPNSGGTKYNEK</t>
  </si>
  <si>
    <t>NTLFLQMTSLR</t>
  </si>
  <si>
    <t>sp|P18529|HVM58_MOUSE</t>
  </si>
  <si>
    <t>NTLYLQMSSLR</t>
  </si>
  <si>
    <t>SPROMMU198724</t>
  </si>
  <si>
    <t>LSCAASGFTFSDYGMHWVR</t>
  </si>
  <si>
    <t>sp|P18528|HVM57_MOUSE</t>
  </si>
  <si>
    <t>LSCAASGFTFSDYYMYWVR</t>
  </si>
  <si>
    <t>GLEWIGQIYPGDGDTNYNGK</t>
  </si>
  <si>
    <t>GLEWIGRIHPSDSDTNYNQK</t>
  </si>
  <si>
    <t>SPROMMU198725</t>
  </si>
  <si>
    <t>EEEEPMDTSSVTHTEHYK</t>
  </si>
  <si>
    <t>EEPMDTSS-VTHTEHYK</t>
  </si>
  <si>
    <t>EEPMDTTSAVIHSENFQ</t>
  </si>
  <si>
    <t>SPROMMU199327</t>
  </si>
  <si>
    <t>EFNEEGALSVLQQFK</t>
  </si>
  <si>
    <t>EFNEDGALAVLQQFK</t>
  </si>
  <si>
    <t>AIDALREFNEEGALSVLQQFK</t>
  </si>
  <si>
    <t>AIEALKEFNEDGALAVLQQFK</t>
  </si>
  <si>
    <t>NTELCETPATSDTK</t>
  </si>
  <si>
    <t>sp|Q8VCH8|UBXN4_MOUSE</t>
  </si>
  <si>
    <t>NTELCETPATSDIK</t>
  </si>
  <si>
    <t>SPROMMU199419</t>
  </si>
  <si>
    <t>ASQSISNNLHWYQQK</t>
  </si>
  <si>
    <t>ASQSIGTSIHWYQQR</t>
  </si>
  <si>
    <t>SPROMMU200897</t>
  </si>
  <si>
    <t>VADALANAAGHLDDLPGALSALSDLHAHK</t>
  </si>
  <si>
    <t>VADALASAAGHLDDLPGALSALSDLHAHK</t>
  </si>
  <si>
    <t>SPROMMU20296</t>
  </si>
  <si>
    <t>LLIYGASTR</t>
  </si>
  <si>
    <t>sp|P01657|KV3A5_MOUSE</t>
  </si>
  <si>
    <t>LLIYGASNR</t>
  </si>
  <si>
    <t>SPROMMU203233</t>
  </si>
  <si>
    <t>ASQDVSTAVAWYQQK</t>
  </si>
  <si>
    <t>SPROMMU203239</t>
  </si>
  <si>
    <t>GLEWVAQIR</t>
  </si>
  <si>
    <t>sp|P01802|HVM33_MOUSE</t>
  </si>
  <si>
    <t>GLEWVAEIR</t>
  </si>
  <si>
    <t>SPROMMU203798</t>
  </si>
  <si>
    <t>SDNYATHYAESVK</t>
  </si>
  <si>
    <t>sp|P01801|HVM32_MOUSE</t>
  </si>
  <si>
    <t>SNNYATHYAESVK</t>
  </si>
  <si>
    <t>ENPPAQPQEEIVQK</t>
  </si>
  <si>
    <t>NPPAQPQEEIVQK</t>
  </si>
  <si>
    <t>DPPAQPQEEIVQK</t>
  </si>
  <si>
    <t>SPROMMU204563</t>
  </si>
  <si>
    <t>FTISRDDSESMLYLQMNNLK</t>
  </si>
  <si>
    <t>sp|P01804|HVM35_MOUSE</t>
  </si>
  <si>
    <t>FTISRDDSKSSVYLQMNNLR</t>
  </si>
  <si>
    <t>SPROMMU204589</t>
  </si>
  <si>
    <t>SNNYATYYADSVK</t>
  </si>
  <si>
    <t>TEDTAMYYCVR</t>
  </si>
  <si>
    <t>sp|P18525|HVM54_MOUSE</t>
  </si>
  <si>
    <t>SEDTAMYYCAR</t>
  </si>
  <si>
    <t>LSCAASGFSFNTYAMNWVR</t>
  </si>
  <si>
    <t>sp|P18527|HVM56_MOUSE</t>
  </si>
  <si>
    <t>LSCAASGFTFSSYAMSWVR</t>
  </si>
  <si>
    <t>LSCVTSGFTFSNYR</t>
  </si>
  <si>
    <t>sp|P01803|HVM34_MOUSE</t>
  </si>
  <si>
    <t>LSCVTSGFTFSNY</t>
  </si>
  <si>
    <t>LSCVASGFTFSNY</t>
  </si>
  <si>
    <t>SPROMMU204714</t>
  </si>
  <si>
    <t>SDNYGANYAESVK</t>
  </si>
  <si>
    <t>VQCYNGYSLQNDQDIMTCTENGWSPPPK</t>
  </si>
  <si>
    <t>VQCYNGYSLQNGQDTMTCTENGWSPPPK</t>
  </si>
  <si>
    <t>SPROMMU204860</t>
  </si>
  <si>
    <t>FTISRDDSQSMLYLQMNNLK</t>
  </si>
  <si>
    <t>SPROMMU20512</t>
  </si>
  <si>
    <t>DDSQSMLYLQMNNLK</t>
  </si>
  <si>
    <t>DDSKSSVYLQMNNLR</t>
  </si>
  <si>
    <t>SSNYATYYADSVK</t>
  </si>
  <si>
    <t>VGTDLLQEEITKFEEHVQSVDIAAFNK</t>
  </si>
  <si>
    <t>sp|P57776|EF1D_MOUSE</t>
  </si>
  <si>
    <t>VGTDLLEEEITKFEEHVQSVDIAAFDK</t>
  </si>
  <si>
    <t>SPROMMU207943</t>
  </si>
  <si>
    <t>FEEHVQSVDIAAFNK</t>
  </si>
  <si>
    <t>FEEHVQSVDIAAFDK</t>
  </si>
  <si>
    <t>FAFSLETSASTAYLQINNLK</t>
  </si>
  <si>
    <t>SPROMMU2089</t>
  </si>
  <si>
    <t>ASGYTFTTYGMSWVK</t>
  </si>
  <si>
    <t>NEDTATYFCAR</t>
  </si>
  <si>
    <t>EDTATYFCAR</t>
  </si>
  <si>
    <t>EDTATYYCAR</t>
  </si>
  <si>
    <t>AIEQADLLQEEAETPR</t>
  </si>
  <si>
    <t>sp|P61967|AP1S1_MOUSE</t>
  </si>
  <si>
    <t>AIEQADLLQEEDESPR</t>
  </si>
  <si>
    <t>SPROMMU210306</t>
  </si>
  <si>
    <t>VVDLMAYMVSK</t>
  </si>
  <si>
    <t>SPROMMU21143</t>
  </si>
  <si>
    <t>PAPPEPAADSPLAGPLERPR</t>
  </si>
  <si>
    <t>sp|Q80TF4|KLH13_MOUSE</t>
  </si>
  <si>
    <t>APPEPAADSPLAGP</t>
  </si>
  <si>
    <t>ATPSPSRESPLSGP</t>
  </si>
  <si>
    <t>SPROMMU215712</t>
  </si>
  <si>
    <t>LQSGNQFVLYR</t>
  </si>
  <si>
    <t>sp|O08677|KNG1_MOUSE</t>
  </si>
  <si>
    <t>VKSGNQYMLHR</t>
  </si>
  <si>
    <t>SPROMMU217421</t>
  </si>
  <si>
    <t>MDGSATFYSFNYQIK</t>
  </si>
  <si>
    <t>DGSATFYSFNYQIK</t>
  </si>
  <si>
    <t>DGSPTFYSFKYLIK</t>
  </si>
  <si>
    <t>NIANPTAMLLSATNMLR</t>
  </si>
  <si>
    <t>sp|Q9D6R2|IDH3A_MOUSE</t>
  </si>
  <si>
    <t>DMANPTALLLSAVMMLR</t>
  </si>
  <si>
    <t>SPROMMU217879</t>
  </si>
  <si>
    <t>GNVVIVLTGWRPGSGFTNTMR</t>
  </si>
  <si>
    <t>sp|P52480|KPYM_MOUSE</t>
  </si>
  <si>
    <t>GDVVIVLTGWRPGSGFTNTMR</t>
  </si>
  <si>
    <t>SPROMMU23312</t>
  </si>
  <si>
    <t>GLASGSAETLPANFR</t>
  </si>
  <si>
    <t>sp|Q8BSS9|LIPA2_MOUSE</t>
  </si>
  <si>
    <t>LASGSAETLPANFR</t>
  </si>
  <si>
    <t>MMPGSSETLPAGFR</t>
  </si>
  <si>
    <t>SPROMMU233354</t>
  </si>
  <si>
    <t>EFNNLLITGTDR</t>
  </si>
  <si>
    <t>EFSNLISLGTDR</t>
  </si>
  <si>
    <t>EFNNLLITGTDRR</t>
  </si>
  <si>
    <t>EFSNLISLGTDRR</t>
  </si>
  <si>
    <t>TLEWIGDINSDGSAINYAPSIK</t>
  </si>
  <si>
    <t>LEWIGDINSDGSAINYAPSIK</t>
  </si>
  <si>
    <t>LEWIGEINPDSSTINYTPSLK</t>
  </si>
  <si>
    <t>SPROMMU234460</t>
  </si>
  <si>
    <t>STLYLQMSNVR</t>
  </si>
  <si>
    <t>NTLYLQMSKVR</t>
  </si>
  <si>
    <t>NSASATTPLSGNSSR</t>
  </si>
  <si>
    <t>sp|Q91WK0|LRRF2_MOUSE</t>
  </si>
  <si>
    <t>NSASATTPLSGQSSR</t>
  </si>
  <si>
    <t>SPROMMU235332</t>
  </si>
  <si>
    <t>QEVVDLLLAR</t>
  </si>
  <si>
    <t>sp|Q99NH0|ANR17_MOUSE</t>
  </si>
  <si>
    <t>QEVVELLLAR</t>
  </si>
  <si>
    <t>SPROMMU235954</t>
  </si>
  <si>
    <t>SALLLEQAAHCFINMK</t>
  </si>
  <si>
    <t>sp|Q9QXE5|TSSP_MOUSE</t>
  </si>
  <si>
    <t>ALLLEQAAHCF</t>
  </si>
  <si>
    <t>ALLIPSASHCF</t>
  </si>
  <si>
    <t>SPROMMU236958</t>
  </si>
  <si>
    <t>ESGYNMIHFTPLQTLGLSR</t>
  </si>
  <si>
    <t>sp|E9PZJ8|ASCC3_MOUSE</t>
  </si>
  <si>
    <t>ESGYNMIHFTPLQT</t>
  </si>
  <si>
    <t>EALYNFSHFNPVQT</t>
  </si>
  <si>
    <t>SPROMMU23795</t>
  </si>
  <si>
    <t>LMMDPLSGQNR</t>
  </si>
  <si>
    <t>LMMDPLTGLNR</t>
  </si>
  <si>
    <t>SPROMMU239769</t>
  </si>
  <si>
    <t>LCDSYEIRPGK</t>
  </si>
  <si>
    <t>sp|P86049|RBM46_MOUSE</t>
  </si>
  <si>
    <t>ILNNYEIRPGK</t>
  </si>
  <si>
    <t>GYAFITFCGK</t>
  </si>
  <si>
    <t>GYAFVTFCTK</t>
  </si>
  <si>
    <t>LSLLEYEPLSSVEYQCQNYYVLK</t>
  </si>
  <si>
    <t>LSLPVYEPLSSVEYQCQKYYLLK</t>
  </si>
  <si>
    <t>SPROMMU240093</t>
  </si>
  <si>
    <t>LDSGVPDRFTGSGSGTDFTLK</t>
  </si>
  <si>
    <t>sp|P01629|KV2A4_MOUSE</t>
  </si>
  <si>
    <t>LASGVPDRFSGSGSGTDFTLR</t>
  </si>
  <si>
    <t>SPROMMU240457</t>
  </si>
  <si>
    <t>FTGSGSGTDFTLK</t>
  </si>
  <si>
    <t>FSGSGSGTDFTLK</t>
  </si>
  <si>
    <t>LCPPSGGGAMAR</t>
  </si>
  <si>
    <t>sp|P70207|PLXA2_MOUSE</t>
  </si>
  <si>
    <t>LCPPSGGGA</t>
  </si>
  <si>
    <t>LCPPASGGA</t>
  </si>
  <si>
    <t>SPROMMU240864</t>
  </si>
  <si>
    <t>LGGCPPDDGLCNQNTPPDQCLNDK</t>
  </si>
  <si>
    <t>sp|Q6VGS5|DAPLE_MOUSE</t>
  </si>
  <si>
    <t>GCPPDDGLCNQNTPPD</t>
  </si>
  <si>
    <t>GCNSDDNLCEPSSEPD</t>
  </si>
  <si>
    <t>SPROMMU241360</t>
  </si>
  <si>
    <t>WSEPPTCIYPTGK</t>
  </si>
  <si>
    <t>WSEPPTCIY</t>
  </si>
  <si>
    <t>WSEPPTCLH</t>
  </si>
  <si>
    <t>SPROMMU24233</t>
  </si>
  <si>
    <t>IYVQGQSLK</t>
  </si>
  <si>
    <t>VYVQGQSLK</t>
  </si>
  <si>
    <t>SPROMMU24386</t>
  </si>
  <si>
    <t>IIPTLEEYQHYK</t>
  </si>
  <si>
    <t>sp|Q8K2H3|FA13B_MOUSE</t>
  </si>
  <si>
    <t>IPTLEEYQHYK</t>
  </si>
  <si>
    <t>VPVLEEYKEYK</t>
  </si>
  <si>
    <t>SPROMMU28017</t>
  </si>
  <si>
    <t>SHQCLSYCPTDLENSPIK</t>
  </si>
  <si>
    <t>SHQCLSYCPTDLENS</t>
  </si>
  <si>
    <t>SHNQLTECPRELENA</t>
  </si>
  <si>
    <t>SPROMMU37304</t>
  </si>
  <si>
    <t>HSFGPLDYESLQQELALK</t>
  </si>
  <si>
    <t>sp|Q9WVS8|MK07_MOUSE</t>
  </si>
  <si>
    <t>HSFGPLDYESLQQELAL</t>
  </si>
  <si>
    <t>HGMNPADIESLQREIQM</t>
  </si>
  <si>
    <t>SPROMMU45414</t>
  </si>
  <si>
    <t>HTGPGILSMANAGPNTNGSQFFICTVK</t>
  </si>
  <si>
    <t>sp|P17742|PPIA_MOUSE</t>
  </si>
  <si>
    <t>HTGPGILSMANAGPNTNGSQFFICTAK</t>
  </si>
  <si>
    <t>SPROMMU55695</t>
  </si>
  <si>
    <t>LLIYSGSTLQSGIPSR</t>
  </si>
  <si>
    <t>sp|P01666|KV3AE_MOUSE</t>
  </si>
  <si>
    <t>LLIYAASNLESGIPAR</t>
  </si>
  <si>
    <t>SPROMMU5661</t>
  </si>
  <si>
    <t>YLAWYQEK</t>
  </si>
  <si>
    <t>sp|P01635|KV5A3_MOUSE</t>
  </si>
  <si>
    <t>YLAWYQQK</t>
  </si>
  <si>
    <t>MNSLQADDTAIYYCAR</t>
  </si>
  <si>
    <t>sp|P01821|HVM45_MOUSE</t>
  </si>
  <si>
    <t>MNSLQSNDTAIYYCAR</t>
  </si>
  <si>
    <t>SPROMMU5668</t>
  </si>
  <si>
    <t>LASESVYVVSLQSTNSQGQSQPVYR</t>
  </si>
  <si>
    <t>sp|P70211|DCC_MOUSE</t>
  </si>
  <si>
    <t>LASESVYVVSLQSTNSQGQSQPVY</t>
  </si>
  <si>
    <t>LESSSHYVISLKAFNNAGEGVPLY</t>
  </si>
  <si>
    <t>SPROMMU5709</t>
  </si>
  <si>
    <t>VGPDTVQCYHFGWSPGFPTCK</t>
  </si>
  <si>
    <t>VGPDSVQCYHFGWSPGFPTCK</t>
  </si>
  <si>
    <t>SPROMMU58198</t>
  </si>
  <si>
    <t>IHIDNGFLSESSYIYALNR</t>
  </si>
  <si>
    <t>IHIDNGFLSESSSIYALNR</t>
  </si>
  <si>
    <t>SPROMMU60172</t>
  </si>
  <si>
    <t>CYVCEQQTHGVFNPAK</t>
  </si>
  <si>
    <t>sp|B9EHT4|CLIP3_MOUSE</t>
  </si>
  <si>
    <t>YVCEQQTHGVFNPA</t>
  </si>
  <si>
    <t>YACKAGAHGVGDPA</t>
  </si>
  <si>
    <t>SPROMMU60731</t>
  </si>
  <si>
    <t>LLIHYTSTLQPGIPSR</t>
  </si>
  <si>
    <t>LLIYYTSSLHSGVPSR</t>
  </si>
  <si>
    <t>SPROMMU62990</t>
  </si>
  <si>
    <t>EQIYPEYVIEYMELEK</t>
  </si>
  <si>
    <t>sp|Q8BZ20|PAR12_MOUSE</t>
  </si>
  <si>
    <t>QIYPEYVIEY</t>
  </si>
  <si>
    <t>QVYPEYLIQY</t>
  </si>
  <si>
    <t>SPROMMU6653</t>
  </si>
  <si>
    <t>LNPSVFVIFR</t>
  </si>
  <si>
    <t>sp|Q2EMV9|PAR14_MOUSE</t>
  </si>
  <si>
    <t>NPSVFVIF</t>
  </si>
  <si>
    <t>NPSIFVVF</t>
  </si>
  <si>
    <t>MNSLQTDDTAMYYCAR</t>
  </si>
  <si>
    <t>SPROMMU67006</t>
  </si>
  <si>
    <t>INSMQPEDTATYFCK</t>
  </si>
  <si>
    <t>ITSMQAEDAATYYCQ</t>
  </si>
  <si>
    <t>SPROMMU67020</t>
  </si>
  <si>
    <t>SPQLLIYNANSLEDGVPSR</t>
  </si>
  <si>
    <t>SPQLLVYNAKTLADGVPSR</t>
  </si>
  <si>
    <t>TLAEGVPSR</t>
  </si>
  <si>
    <t>sp|P01636|KV5A4_MOUSE</t>
  </si>
  <si>
    <t>TLVEGVPSR</t>
  </si>
  <si>
    <t>SPROMMU67021</t>
  </si>
  <si>
    <t>LILPGLMSSR</t>
  </si>
  <si>
    <t>sp|Q63836|SBP2_MOUSE</t>
  </si>
  <si>
    <t>LILPGLISSR</t>
  </si>
  <si>
    <t>SPROMMU70168</t>
  </si>
  <si>
    <t>IHDNFGIVEGFMTMIHAITATQK</t>
  </si>
  <si>
    <t>IHDNFGIVEGLMTTVHAITATQK</t>
  </si>
  <si>
    <t>SPROMMU71138</t>
  </si>
  <si>
    <t>IPFNSISLVNVYRPGVHCADVEVIATLK</t>
  </si>
  <si>
    <t>VDFKNIQSLSVTPPGPHCAQTEVIATLK</t>
  </si>
  <si>
    <t>SPROMMU71640</t>
  </si>
  <si>
    <t>SSSTAYMELR</t>
  </si>
  <si>
    <t>SPROMMU73671</t>
  </si>
  <si>
    <t>SSQSLVHSNGNTYLHWYLQK</t>
  </si>
  <si>
    <t>SPROMMU78888</t>
  </si>
  <si>
    <t>SEDTATYYCAR</t>
  </si>
  <si>
    <t>SEDTALYYCAR</t>
  </si>
  <si>
    <t>SPROMMU81727</t>
  </si>
  <si>
    <t>NILYLQMSSLK</t>
  </si>
  <si>
    <t>NILYLQMSSLR</t>
  </si>
  <si>
    <t>LLISGATSLETGVPSR</t>
  </si>
  <si>
    <t>LLIYGASNLEDGVPSR</t>
  </si>
  <si>
    <t>SPROMMU87332</t>
  </si>
  <si>
    <t>NYLTWYQQK</t>
  </si>
  <si>
    <t>NYLAWYQQK</t>
  </si>
  <si>
    <t>SPROMMU87376</t>
  </si>
  <si>
    <t>ASQSVSNDVAWYQQK</t>
  </si>
  <si>
    <t>SPROMMU88646</t>
  </si>
  <si>
    <t>ASQNVGTAVAWYQQK</t>
  </si>
  <si>
    <t>SPROMMU88681</t>
  </si>
  <si>
    <t>TLIYYATSLADGVPSR</t>
  </si>
  <si>
    <t>LIYYATSLADGVPSR</t>
  </si>
  <si>
    <t>LVYNAKTLADGVPSR</t>
  </si>
  <si>
    <t>SPROMMU88683</t>
  </si>
  <si>
    <t>SYLSWYQQK</t>
  </si>
  <si>
    <t>SYLAWYQQK</t>
  </si>
  <si>
    <t>GFGQSVVQLGGTSVVVAAPQEAK</t>
  </si>
  <si>
    <t>sp|P05555|ITAM_MOUSE</t>
  </si>
  <si>
    <t>GFGQNVVQLGGTSVVVAAPQEAK</t>
  </si>
  <si>
    <t>SPROMMU89306</t>
  </si>
  <si>
    <t>ASENIYSNLAWYQQK</t>
  </si>
  <si>
    <t>ASENIYSYLAWYQQK</t>
  </si>
  <si>
    <t>SPROMMU90132</t>
  </si>
  <si>
    <t>QRPEQGLEWIGR</t>
  </si>
  <si>
    <t>SPROMMU99264</t>
  </si>
  <si>
    <t>QRPEQGLEWIGWIDPENGDTEYASK</t>
  </si>
  <si>
    <t>QRPGQGLEWIGYINPGNGYTKYNEK</t>
  </si>
  <si>
    <t>SPROMMU99266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</si>
</sst>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6">
    <xf numFmtId="0" fontId="0" fillId="0" borderId="0" xfId="0"/>
    <xf numFmtId="11" fontId="0" fillId="0" borderId="0" xfId="0" applyNumberFormat="1"/>
    <xf numFmtId="0" fontId="20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0" fillId="37" borderId="0" xfId="0" applyFill="1"/>
    <xf numFmtId="0" fontId="0" fillId="36" borderId="0" xfId="0" applyFill="1"/>
    <xf numFmtId="0" fontId="18" fillId="0" borderId="0" xfId="0" applyFont="1" applyAlignment="1">
      <alignment horizontal="center"/>
    </xf>
    <xf numFmtId="0" fontId="21" fillId="0" borderId="0" xfId="0" applyFont="1" applyAlignment="1">
      <alignment horizontal="center" vertical="center" textRotation="90"/>
    </xf>
    <xf numFmtId="0" fontId="21" fillId="34" borderId="0" xfId="0" applyFont="1" applyFill="1" applyAlignment="1">
      <alignment horizontal="center"/>
    </xf>
    <xf numFmtId="0" fontId="22" fillId="34" borderId="0" xfId="42" applyFill="1"/>
    <xf numFmtId="0" fontId="18" fillId="35" borderId="0" xfId="0" applyFont="1" applyFill="1" applyAlignment="1">
      <alignment horizontal="center" textRotation="90"/>
    </xf>
    <xf numFmtId="0" fontId="18" fillId="0" borderId="0" xfId="0" applyFont="1" applyAlignment="1">
      <alignment horizontal="center" textRotation="90"/>
    </xf>
    <xf numFmtId="0" fontId="21" fillId="34" borderId="0" xfId="0" applyFont="1" applyFill="1" applyAlignment="1">
      <alignment horizontal="center" textRotation="90"/>
    </xf>
    <xf numFmtId="0" fontId="24" fillId="0" borderId="0" xfId="0" applyFont="1"/>
    <xf numFmtId="0" fontId="23" fillId="0" borderId="0" xfId="0" applyFont="1"/>
    <xf numFmtId="0" fontId="0" fillId="0" borderId="0" xfId="0" applyAlignment="1">
      <alignment horizontal="center"/>
    </xf>
    <xf numFmtId="0" fontId="0" fillId="35" borderId="0" xfId="0" applyFill="1"/>
    <xf numFmtId="0" fontId="0" fillId="33" borderId="0" xfId="0" applyFill="1"/>
    <xf numFmtId="0" fontId="0" fillId="34" borderId="0" xfId="0" applyFill="1"/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Blast238!$AK$40:$AK$276</c:f>
              <c:numCache>
                <c:formatCode>General</c:formatCode>
                <c:ptCount val="237"/>
                <c:pt idx="0">
                  <c:v>18.1096</c:v>
                </c:pt>
                <c:pt idx="1">
                  <c:v>8.6858599999999999</c:v>
                </c:pt>
                <c:pt idx="2">
                  <c:v>15.1454</c:v>
                </c:pt>
                <c:pt idx="3">
                  <c:v>25.336200000000002</c:v>
                </c:pt>
                <c:pt idx="4">
                  <c:v>13.1188</c:v>
                </c:pt>
                <c:pt idx="5">
                  <c:v>15.6744</c:v>
                </c:pt>
                <c:pt idx="6">
                  <c:v>16.5871</c:v>
                </c:pt>
                <c:pt idx="7">
                  <c:v>12.8345</c:v>
                </c:pt>
                <c:pt idx="8">
                  <c:v>13.1591</c:v>
                </c:pt>
                <c:pt idx="9">
                  <c:v>21.9834</c:v>
                </c:pt>
                <c:pt idx="10">
                  <c:v>6.6307999999999998</c:v>
                </c:pt>
                <c:pt idx="11">
                  <c:v>7.3950100000000001</c:v>
                </c:pt>
                <c:pt idx="12">
                  <c:v>22.913</c:v>
                </c:pt>
                <c:pt idx="13">
                  <c:v>21.2636</c:v>
                </c:pt>
                <c:pt idx="14">
                  <c:v>20.898700000000002</c:v>
                </c:pt>
                <c:pt idx="15">
                  <c:v>20.167899999999999</c:v>
                </c:pt>
                <c:pt idx="16">
                  <c:v>17.4846</c:v>
                </c:pt>
                <c:pt idx="17">
                  <c:v>22.115100000000002</c:v>
                </c:pt>
                <c:pt idx="18">
                  <c:v>23.7667</c:v>
                </c:pt>
                <c:pt idx="19">
                  <c:v>23.851099999999999</c:v>
                </c:pt>
                <c:pt idx="20">
                  <c:v>19.2761</c:v>
                </c:pt>
                <c:pt idx="21">
                  <c:v>9.4660700000000002</c:v>
                </c:pt>
                <c:pt idx="22">
                  <c:v>18.190000000000001</c:v>
                </c:pt>
                <c:pt idx="23">
                  <c:v>10.532999999999999</c:v>
                </c:pt>
                <c:pt idx="24">
                  <c:v>9.3215199999999996</c:v>
                </c:pt>
                <c:pt idx="25">
                  <c:v>13.3704</c:v>
                </c:pt>
                <c:pt idx="26">
                  <c:v>25.624300000000002</c:v>
                </c:pt>
                <c:pt idx="27">
                  <c:v>18.110800000000001</c:v>
                </c:pt>
                <c:pt idx="28">
                  <c:v>21.816700000000001</c:v>
                </c:pt>
                <c:pt idx="29">
                  <c:v>14.1456</c:v>
                </c:pt>
                <c:pt idx="30">
                  <c:v>8.2065099999999997</c:v>
                </c:pt>
                <c:pt idx="31">
                  <c:v>16.350100000000001</c:v>
                </c:pt>
                <c:pt idx="32">
                  <c:v>25.7272</c:v>
                </c:pt>
                <c:pt idx="33">
                  <c:v>16.9754</c:v>
                </c:pt>
                <c:pt idx="34">
                  <c:v>23.784199999999998</c:v>
                </c:pt>
                <c:pt idx="35">
                  <c:v>20.603100000000001</c:v>
                </c:pt>
                <c:pt idx="36">
                  <c:v>21.916599999999999</c:v>
                </c:pt>
                <c:pt idx="37">
                  <c:v>22.213699999999999</c:v>
                </c:pt>
                <c:pt idx="38">
                  <c:v>22.425899999999999</c:v>
                </c:pt>
                <c:pt idx="39">
                  <c:v>21.456800000000001</c:v>
                </c:pt>
                <c:pt idx="40">
                  <c:v>26.806899999999999</c:v>
                </c:pt>
                <c:pt idx="41">
                  <c:v>19.807600000000001</c:v>
                </c:pt>
                <c:pt idx="42">
                  <c:v>12.2974</c:v>
                </c:pt>
                <c:pt idx="43">
                  <c:v>21.572600000000001</c:v>
                </c:pt>
                <c:pt idx="44">
                  <c:v>30.146899999999999</c:v>
                </c:pt>
                <c:pt idx="45">
                  <c:v>14.520799999999999</c:v>
                </c:pt>
                <c:pt idx="46">
                  <c:v>17.301600000000001</c:v>
                </c:pt>
                <c:pt idx="47">
                  <c:v>12.3872</c:v>
                </c:pt>
                <c:pt idx="48">
                  <c:v>7.71556</c:v>
                </c:pt>
                <c:pt idx="49">
                  <c:v>13.432499999999999</c:v>
                </c:pt>
                <c:pt idx="50">
                  <c:v>30.456099999999999</c:v>
                </c:pt>
                <c:pt idx="51">
                  <c:v>14.091100000000001</c:v>
                </c:pt>
                <c:pt idx="52">
                  <c:v>14.056800000000001</c:v>
                </c:pt>
                <c:pt idx="53">
                  <c:v>29.8339</c:v>
                </c:pt>
                <c:pt idx="54">
                  <c:v>6.9607799999999997</c:v>
                </c:pt>
                <c:pt idx="55">
                  <c:v>21.021599999999999</c:v>
                </c:pt>
                <c:pt idx="56">
                  <c:v>17.517299999999999</c:v>
                </c:pt>
                <c:pt idx="57">
                  <c:v>18.480699999999999</c:v>
                </c:pt>
                <c:pt idx="58">
                  <c:v>16.310099999999998</c:v>
                </c:pt>
                <c:pt idx="59">
                  <c:v>14.251799999999999</c:v>
                </c:pt>
                <c:pt idx="60">
                  <c:v>15.855700000000001</c:v>
                </c:pt>
                <c:pt idx="61">
                  <c:v>23.073599999999999</c:v>
                </c:pt>
                <c:pt idx="62">
                  <c:v>24.338100000000001</c:v>
                </c:pt>
                <c:pt idx="63">
                  <c:v>23.2164</c:v>
                </c:pt>
                <c:pt idx="64">
                  <c:v>26.3216</c:v>
                </c:pt>
                <c:pt idx="65">
                  <c:v>16.329599999999999</c:v>
                </c:pt>
                <c:pt idx="66">
                  <c:v>22.505700000000001</c:v>
                </c:pt>
                <c:pt idx="67">
                  <c:v>22.165099999999999</c:v>
                </c:pt>
                <c:pt idx="68">
                  <c:v>12.847099999999999</c:v>
                </c:pt>
                <c:pt idx="69">
                  <c:v>5.8216999999999999</c:v>
                </c:pt>
                <c:pt idx="70">
                  <c:v>15.6494</c:v>
                </c:pt>
                <c:pt idx="71">
                  <c:v>17.7105</c:v>
                </c:pt>
                <c:pt idx="72">
                  <c:v>18.6874</c:v>
                </c:pt>
                <c:pt idx="73">
                  <c:v>13.7997</c:v>
                </c:pt>
                <c:pt idx="74">
                  <c:v>26.803699999999999</c:v>
                </c:pt>
                <c:pt idx="75">
                  <c:v>19.666499999999999</c:v>
                </c:pt>
                <c:pt idx="76">
                  <c:v>30.722000000000001</c:v>
                </c:pt>
                <c:pt idx="77">
                  <c:v>23.2883</c:v>
                </c:pt>
                <c:pt idx="78">
                  <c:v>21.788</c:v>
                </c:pt>
                <c:pt idx="79">
                  <c:v>26.0427</c:v>
                </c:pt>
                <c:pt idx="80">
                  <c:v>20.149999999999999</c:v>
                </c:pt>
                <c:pt idx="81">
                  <c:v>14.886799999999999</c:v>
                </c:pt>
                <c:pt idx="82">
                  <c:v>24.264099999999999</c:v>
                </c:pt>
                <c:pt idx="83">
                  <c:v>22.5379</c:v>
                </c:pt>
                <c:pt idx="84">
                  <c:v>20.1142</c:v>
                </c:pt>
                <c:pt idx="85">
                  <c:v>17.565100000000001</c:v>
                </c:pt>
                <c:pt idx="86">
                  <c:v>29.6919</c:v>
                </c:pt>
                <c:pt idx="87">
                  <c:v>13.8101</c:v>
                </c:pt>
                <c:pt idx="88">
                  <c:v>8.7378400000000003</c:v>
                </c:pt>
                <c:pt idx="89">
                  <c:v>21.813400000000001</c:v>
                </c:pt>
                <c:pt idx="90">
                  <c:v>11.846299999999999</c:v>
                </c:pt>
                <c:pt idx="91">
                  <c:v>10.693</c:v>
                </c:pt>
                <c:pt idx="92">
                  <c:v>13.8706</c:v>
                </c:pt>
                <c:pt idx="93">
                  <c:v>15.8805</c:v>
                </c:pt>
                <c:pt idx="94">
                  <c:v>18.37</c:v>
                </c:pt>
                <c:pt idx="95">
                  <c:v>15.2155</c:v>
                </c:pt>
                <c:pt idx="96">
                  <c:v>29.936</c:v>
                </c:pt>
                <c:pt idx="97">
                  <c:v>12.170500000000001</c:v>
                </c:pt>
                <c:pt idx="98">
                  <c:v>14.260999999999999</c:v>
                </c:pt>
                <c:pt idx="99">
                  <c:v>24.2941</c:v>
                </c:pt>
                <c:pt idx="100">
                  <c:v>10.4604</c:v>
                </c:pt>
                <c:pt idx="101">
                  <c:v>7.19496</c:v>
                </c:pt>
                <c:pt idx="102">
                  <c:v>28.822500000000002</c:v>
                </c:pt>
                <c:pt idx="103">
                  <c:v>23.828099999999999</c:v>
                </c:pt>
                <c:pt idx="104">
                  <c:v>14.6845</c:v>
                </c:pt>
                <c:pt idx="105">
                  <c:v>23.062100000000001</c:v>
                </c:pt>
                <c:pt idx="106">
                  <c:v>20.1096</c:v>
                </c:pt>
                <c:pt idx="107">
                  <c:v>22.846</c:v>
                </c:pt>
                <c:pt idx="108">
                  <c:v>5.8959400000000004</c:v>
                </c:pt>
                <c:pt idx="109">
                  <c:v>28.876999999999999</c:v>
                </c:pt>
                <c:pt idx="110">
                  <c:v>18.663599999999999</c:v>
                </c:pt>
                <c:pt idx="111">
                  <c:v>21.861799999999999</c:v>
                </c:pt>
                <c:pt idx="112">
                  <c:v>17.515000000000001</c:v>
                </c:pt>
                <c:pt idx="113">
                  <c:v>15.964399999999999</c:v>
                </c:pt>
                <c:pt idx="114">
                  <c:v>5.4609199999999998</c:v>
                </c:pt>
                <c:pt idx="115">
                  <c:v>16.146100000000001</c:v>
                </c:pt>
                <c:pt idx="116">
                  <c:v>12.8544</c:v>
                </c:pt>
                <c:pt idx="117">
                  <c:v>10.079000000000001</c:v>
                </c:pt>
                <c:pt idx="118">
                  <c:v>9.1484299999999994</c:v>
                </c:pt>
                <c:pt idx="119">
                  <c:v>7.7005299999999997</c:v>
                </c:pt>
                <c:pt idx="120">
                  <c:v>12.130599999999999</c:v>
                </c:pt>
                <c:pt idx="121">
                  <c:v>26.9528</c:v>
                </c:pt>
                <c:pt idx="122">
                  <c:v>19.667200000000001</c:v>
                </c:pt>
                <c:pt idx="123">
                  <c:v>15.8169</c:v>
                </c:pt>
                <c:pt idx="124">
                  <c:v>20.283300000000001</c:v>
                </c:pt>
                <c:pt idx="125">
                  <c:v>22.400300000000001</c:v>
                </c:pt>
                <c:pt idx="126">
                  <c:v>24.3704</c:v>
                </c:pt>
                <c:pt idx="127">
                  <c:v>23.901299999999999</c:v>
                </c:pt>
                <c:pt idx="128">
                  <c:v>25.1755</c:v>
                </c:pt>
                <c:pt idx="129">
                  <c:v>30.598099999999999</c:v>
                </c:pt>
                <c:pt idx="130">
                  <c:v>24.947900000000001</c:v>
                </c:pt>
                <c:pt idx="131">
                  <c:v>26.867999999999999</c:v>
                </c:pt>
                <c:pt idx="132">
                  <c:v>19.369199999999999</c:v>
                </c:pt>
                <c:pt idx="133">
                  <c:v>22.555599999999998</c:v>
                </c:pt>
                <c:pt idx="134">
                  <c:v>10.863</c:v>
                </c:pt>
                <c:pt idx="135">
                  <c:v>11.840299999999999</c:v>
                </c:pt>
                <c:pt idx="136">
                  <c:v>12.0297</c:v>
                </c:pt>
                <c:pt idx="137">
                  <c:v>17.369199999999999</c:v>
                </c:pt>
                <c:pt idx="138">
                  <c:v>20.293199999999999</c:v>
                </c:pt>
                <c:pt idx="139">
                  <c:v>24.226700000000001</c:v>
                </c:pt>
                <c:pt idx="140">
                  <c:v>24.432400000000001</c:v>
                </c:pt>
                <c:pt idx="141">
                  <c:v>12.6668</c:v>
                </c:pt>
                <c:pt idx="142">
                  <c:v>22.0959</c:v>
                </c:pt>
                <c:pt idx="143">
                  <c:v>25.247199999999999</c:v>
                </c:pt>
                <c:pt idx="144">
                  <c:v>21.636500000000002</c:v>
                </c:pt>
                <c:pt idx="145">
                  <c:v>13.836499999999999</c:v>
                </c:pt>
                <c:pt idx="146">
                  <c:v>23.692699999999999</c:v>
                </c:pt>
                <c:pt idx="147">
                  <c:v>24.111599999999999</c:v>
                </c:pt>
                <c:pt idx="148">
                  <c:v>24.2546</c:v>
                </c:pt>
                <c:pt idx="149">
                  <c:v>24.185700000000001</c:v>
                </c:pt>
                <c:pt idx="150">
                  <c:v>10.5952</c:v>
                </c:pt>
                <c:pt idx="151">
                  <c:v>26.921500000000002</c:v>
                </c:pt>
                <c:pt idx="152">
                  <c:v>28.642900000000001</c:v>
                </c:pt>
                <c:pt idx="153">
                  <c:v>9.1542100000000008</c:v>
                </c:pt>
                <c:pt idx="154">
                  <c:v>15.210599999999999</c:v>
                </c:pt>
                <c:pt idx="155">
                  <c:v>27.988499999999998</c:v>
                </c:pt>
                <c:pt idx="156">
                  <c:v>14.4947</c:v>
                </c:pt>
                <c:pt idx="157">
                  <c:v>16.552499999999998</c:v>
                </c:pt>
                <c:pt idx="158">
                  <c:v>20.8203</c:v>
                </c:pt>
                <c:pt idx="159">
                  <c:v>9.9674499999999995</c:v>
                </c:pt>
                <c:pt idx="160">
                  <c:v>10.987500000000001</c:v>
                </c:pt>
                <c:pt idx="161">
                  <c:v>23.665400000000002</c:v>
                </c:pt>
                <c:pt idx="162">
                  <c:v>14.149699999999999</c:v>
                </c:pt>
                <c:pt idx="163">
                  <c:v>11.4595</c:v>
                </c:pt>
                <c:pt idx="164">
                  <c:v>24.8931</c:v>
                </c:pt>
                <c:pt idx="165">
                  <c:v>19.783200000000001</c:v>
                </c:pt>
                <c:pt idx="166">
                  <c:v>11.1061</c:v>
                </c:pt>
                <c:pt idx="167">
                  <c:v>21.17</c:v>
                </c:pt>
                <c:pt idx="168">
                  <c:v>23.6494</c:v>
                </c:pt>
                <c:pt idx="169">
                  <c:v>22.604700000000001</c:v>
                </c:pt>
                <c:pt idx="170">
                  <c:v>14.112</c:v>
                </c:pt>
                <c:pt idx="171">
                  <c:v>29.6816</c:v>
                </c:pt>
                <c:pt idx="172">
                  <c:v>18.101299999999998</c:v>
                </c:pt>
                <c:pt idx="173">
                  <c:v>27.9391</c:v>
                </c:pt>
                <c:pt idx="174">
                  <c:v>23.614899999999999</c:v>
                </c:pt>
                <c:pt idx="175">
                  <c:v>12.433199999999999</c:v>
                </c:pt>
                <c:pt idx="176">
                  <c:v>17.562899999999999</c:v>
                </c:pt>
                <c:pt idx="177">
                  <c:v>24.051600000000001</c:v>
                </c:pt>
                <c:pt idx="178">
                  <c:v>17.490600000000001</c:v>
                </c:pt>
                <c:pt idx="179">
                  <c:v>16.814800000000002</c:v>
                </c:pt>
                <c:pt idx="180">
                  <c:v>21.0337</c:v>
                </c:pt>
                <c:pt idx="181">
                  <c:v>29.421099999999999</c:v>
                </c:pt>
                <c:pt idx="182">
                  <c:v>25.061</c:v>
                </c:pt>
                <c:pt idx="183">
                  <c:v>16.878900000000002</c:v>
                </c:pt>
                <c:pt idx="184">
                  <c:v>19.503399999999999</c:v>
                </c:pt>
                <c:pt idx="185">
                  <c:v>17.6495</c:v>
                </c:pt>
                <c:pt idx="186">
                  <c:v>25.4437</c:v>
                </c:pt>
                <c:pt idx="187">
                  <c:v>17.674800000000001</c:v>
                </c:pt>
                <c:pt idx="188">
                  <c:v>8.1376799999999996</c:v>
                </c:pt>
                <c:pt idx="189">
                  <c:v>23.1325</c:v>
                </c:pt>
                <c:pt idx="190">
                  <c:v>27.245699999999999</c:v>
                </c:pt>
                <c:pt idx="191">
                  <c:v>26.758600000000001</c:v>
                </c:pt>
                <c:pt idx="192">
                  <c:v>17.0016</c:v>
                </c:pt>
                <c:pt idx="193">
                  <c:v>10.9062</c:v>
                </c:pt>
                <c:pt idx="194">
                  <c:v>20.4665</c:v>
                </c:pt>
                <c:pt idx="195">
                  <c:v>28.1249</c:v>
                </c:pt>
                <c:pt idx="196">
                  <c:v>18.848500000000001</c:v>
                </c:pt>
                <c:pt idx="197">
                  <c:v>14.835000000000001</c:v>
                </c:pt>
                <c:pt idx="198">
                  <c:v>9.5995799999999996</c:v>
                </c:pt>
                <c:pt idx="199">
                  <c:v>14.4321</c:v>
                </c:pt>
                <c:pt idx="200">
                  <c:v>16.492599999999999</c:v>
                </c:pt>
                <c:pt idx="201">
                  <c:v>10.5947</c:v>
                </c:pt>
                <c:pt idx="202">
                  <c:v>17.2042</c:v>
                </c:pt>
                <c:pt idx="203">
                  <c:v>17.186399999999999</c:v>
                </c:pt>
                <c:pt idx="204">
                  <c:v>25.610900000000001</c:v>
                </c:pt>
                <c:pt idx="205">
                  <c:v>24.609400000000001</c:v>
                </c:pt>
                <c:pt idx="206">
                  <c:v>20.293700000000001</c:v>
                </c:pt>
                <c:pt idx="207">
                  <c:v>16.1112</c:v>
                </c:pt>
                <c:pt idx="208">
                  <c:v>17.3157</c:v>
                </c:pt>
                <c:pt idx="209">
                  <c:v>19.590800000000002</c:v>
                </c:pt>
                <c:pt idx="210">
                  <c:v>22.591899999999999</c:v>
                </c:pt>
                <c:pt idx="211">
                  <c:v>25.828600000000002</c:v>
                </c:pt>
                <c:pt idx="212">
                  <c:v>13.248699999999999</c:v>
                </c:pt>
                <c:pt idx="213">
                  <c:v>19.475899999999999</c:v>
                </c:pt>
                <c:pt idx="214">
                  <c:v>28.259599999999999</c:v>
                </c:pt>
                <c:pt idx="215">
                  <c:v>26.9832</c:v>
                </c:pt>
                <c:pt idx="216">
                  <c:v>16.1477</c:v>
                </c:pt>
                <c:pt idx="217">
                  <c:v>16.754899999999999</c:v>
                </c:pt>
                <c:pt idx="218">
                  <c:v>22.369199999999999</c:v>
                </c:pt>
                <c:pt idx="219">
                  <c:v>9.1463300000000007</c:v>
                </c:pt>
                <c:pt idx="220">
                  <c:v>22.300699999999999</c:v>
                </c:pt>
                <c:pt idx="221">
                  <c:v>29.596</c:v>
                </c:pt>
                <c:pt idx="222">
                  <c:v>28.4132</c:v>
                </c:pt>
                <c:pt idx="223">
                  <c:v>9.5766500000000008</c:v>
                </c:pt>
                <c:pt idx="224">
                  <c:v>19.7578</c:v>
                </c:pt>
                <c:pt idx="225">
                  <c:v>9.0257500000000004</c:v>
                </c:pt>
                <c:pt idx="226">
                  <c:v>22.892299999999999</c:v>
                </c:pt>
                <c:pt idx="227">
                  <c:v>19.7575</c:v>
                </c:pt>
                <c:pt idx="228">
                  <c:v>17.741099999999999</c:v>
                </c:pt>
                <c:pt idx="229">
                  <c:v>14.592700000000001</c:v>
                </c:pt>
                <c:pt idx="230">
                  <c:v>15.9678</c:v>
                </c:pt>
                <c:pt idx="231">
                  <c:v>23.381699999999999</c:v>
                </c:pt>
                <c:pt idx="232">
                  <c:v>17.273399999999999</c:v>
                </c:pt>
                <c:pt idx="233">
                  <c:v>21.991199999999999</c:v>
                </c:pt>
                <c:pt idx="234">
                  <c:v>20.308700000000002</c:v>
                </c:pt>
                <c:pt idx="235">
                  <c:v>16.3751</c:v>
                </c:pt>
                <c:pt idx="236">
                  <c:v>26.573499999999999</c:v>
                </c:pt>
              </c:numCache>
            </c:numRef>
          </c:xVal>
          <c:yVal>
            <c:numRef>
              <c:f>Blast238!$AL$40:$AL$276</c:f>
              <c:numCache>
                <c:formatCode>General</c:formatCode>
                <c:ptCount val="237"/>
                <c:pt idx="0">
                  <c:v>28.223315599999999</c:v>
                </c:pt>
                <c:pt idx="1">
                  <c:v>28.9069033333333</c:v>
                </c:pt>
                <c:pt idx="2">
                  <c:v>21.8899698666667</c:v>
                </c:pt>
                <c:pt idx="3">
                  <c:v>25.393300133333302</c:v>
                </c:pt>
                <c:pt idx="4">
                  <c:v>16.5182933333333</c:v>
                </c:pt>
                <c:pt idx="5">
                  <c:v>16.3386894666667</c:v>
                </c:pt>
                <c:pt idx="6">
                  <c:v>12.751004</c:v>
                </c:pt>
                <c:pt idx="7">
                  <c:v>27.0654124666667</c:v>
                </c:pt>
                <c:pt idx="8">
                  <c:v>27.8325088666667</c:v>
                </c:pt>
                <c:pt idx="9">
                  <c:v>22.052501533333299</c:v>
                </c:pt>
                <c:pt idx="10">
                  <c:v>22.185536933333299</c:v>
                </c:pt>
                <c:pt idx="11">
                  <c:v>7.3950093333333298</c:v>
                </c:pt>
                <c:pt idx="12">
                  <c:v>25.859341733333299</c:v>
                </c:pt>
                <c:pt idx="13">
                  <c:v>22.7960061333333</c:v>
                </c:pt>
                <c:pt idx="14">
                  <c:v>21.043383200000001</c:v>
                </c:pt>
                <c:pt idx="15">
                  <c:v>16.152443000000002</c:v>
                </c:pt>
                <c:pt idx="16">
                  <c:v>25.946058733333299</c:v>
                </c:pt>
                <c:pt idx="17">
                  <c:v>22.1811474</c:v>
                </c:pt>
                <c:pt idx="18">
                  <c:v>23.7480364</c:v>
                </c:pt>
                <c:pt idx="19">
                  <c:v>25.2855274666667</c:v>
                </c:pt>
                <c:pt idx="20">
                  <c:v>21.468726799999999</c:v>
                </c:pt>
                <c:pt idx="21">
                  <c:v>28.2077676</c:v>
                </c:pt>
                <c:pt idx="22">
                  <c:v>23.642222133333298</c:v>
                </c:pt>
                <c:pt idx="23">
                  <c:v>10.650228666666701</c:v>
                </c:pt>
                <c:pt idx="24">
                  <c:v>11.453023200000001</c:v>
                </c:pt>
                <c:pt idx="25">
                  <c:v>25.968919199999998</c:v>
                </c:pt>
                <c:pt idx="26">
                  <c:v>25.555456400000001</c:v>
                </c:pt>
                <c:pt idx="27">
                  <c:v>23.2133276</c:v>
                </c:pt>
                <c:pt idx="28">
                  <c:v>22.4468186</c:v>
                </c:pt>
                <c:pt idx="29">
                  <c:v>14.1620931333333</c:v>
                </c:pt>
                <c:pt idx="30">
                  <c:v>21.492307333333301</c:v>
                </c:pt>
                <c:pt idx="31">
                  <c:v>24.4226684666667</c:v>
                </c:pt>
                <c:pt idx="32">
                  <c:v>25.718679399999999</c:v>
                </c:pt>
                <c:pt idx="33">
                  <c:v>17.0085908</c:v>
                </c:pt>
                <c:pt idx="34">
                  <c:v>28.939023200000001</c:v>
                </c:pt>
                <c:pt idx="35">
                  <c:v>29.139770066666699</c:v>
                </c:pt>
                <c:pt idx="36">
                  <c:v>21.982149799999998</c:v>
                </c:pt>
                <c:pt idx="37">
                  <c:v>28.643368133333301</c:v>
                </c:pt>
                <c:pt idx="38">
                  <c:v>25.978832799999999</c:v>
                </c:pt>
                <c:pt idx="39">
                  <c:v>25.706267466666699</c:v>
                </c:pt>
                <c:pt idx="40">
                  <c:v>26.7464196666667</c:v>
                </c:pt>
                <c:pt idx="41">
                  <c:v>25.955300133333299</c:v>
                </c:pt>
                <c:pt idx="42">
                  <c:v>15.343071</c:v>
                </c:pt>
                <c:pt idx="43">
                  <c:v>22.7103774666666</c:v>
                </c:pt>
                <c:pt idx="44">
                  <c:v>17.8474644</c:v>
                </c:pt>
                <c:pt idx="45">
                  <c:v>14.4444214</c:v>
                </c:pt>
                <c:pt idx="46">
                  <c:v>24.556409066666699</c:v>
                </c:pt>
                <c:pt idx="47">
                  <c:v>12.347087066666701</c:v>
                </c:pt>
                <c:pt idx="48">
                  <c:v>28.118097866666702</c:v>
                </c:pt>
                <c:pt idx="49">
                  <c:v>13.5651567333333</c:v>
                </c:pt>
                <c:pt idx="50">
                  <c:v>30.4869612</c:v>
                </c:pt>
                <c:pt idx="51">
                  <c:v>25.818242333333298</c:v>
                </c:pt>
                <c:pt idx="52">
                  <c:v>14.1250394</c:v>
                </c:pt>
                <c:pt idx="53">
                  <c:v>29.0191196666667</c:v>
                </c:pt>
                <c:pt idx="54">
                  <c:v>23.8636910666667</c:v>
                </c:pt>
                <c:pt idx="55">
                  <c:v>30.6226910666667</c:v>
                </c:pt>
                <c:pt idx="56">
                  <c:v>25.755880133333299</c:v>
                </c:pt>
                <c:pt idx="57">
                  <c:v>27.345228533333302</c:v>
                </c:pt>
                <c:pt idx="58">
                  <c:v>24.9832334</c:v>
                </c:pt>
                <c:pt idx="59">
                  <c:v>29.731665</c:v>
                </c:pt>
                <c:pt idx="60">
                  <c:v>30.648142333333301</c:v>
                </c:pt>
                <c:pt idx="61">
                  <c:v>23.2611554666667</c:v>
                </c:pt>
                <c:pt idx="62">
                  <c:v>24.512317466666701</c:v>
                </c:pt>
                <c:pt idx="63">
                  <c:v>28.820754333333301</c:v>
                </c:pt>
                <c:pt idx="64">
                  <c:v>29.0811699333333</c:v>
                </c:pt>
                <c:pt idx="65">
                  <c:v>30.005478533333299</c:v>
                </c:pt>
                <c:pt idx="66">
                  <c:v>26.085391066666698</c:v>
                </c:pt>
                <c:pt idx="67">
                  <c:v>22.336143533333299</c:v>
                </c:pt>
                <c:pt idx="68">
                  <c:v>20.298330333333301</c:v>
                </c:pt>
                <c:pt idx="69">
                  <c:v>8.9991475999999899</c:v>
                </c:pt>
                <c:pt idx="70">
                  <c:v>28.546233600000001</c:v>
                </c:pt>
                <c:pt idx="71">
                  <c:v>17.7302763333333</c:v>
                </c:pt>
                <c:pt idx="72">
                  <c:v>27.8735778</c:v>
                </c:pt>
                <c:pt idx="73">
                  <c:v>21.662611933333299</c:v>
                </c:pt>
                <c:pt idx="74">
                  <c:v>28.412688466666701</c:v>
                </c:pt>
                <c:pt idx="75">
                  <c:v>29.8316792</c:v>
                </c:pt>
                <c:pt idx="76">
                  <c:v>30.719963266666699</c:v>
                </c:pt>
                <c:pt idx="77">
                  <c:v>28.3650220666667</c:v>
                </c:pt>
                <c:pt idx="78">
                  <c:v>21.7668924666667</c:v>
                </c:pt>
                <c:pt idx="79">
                  <c:v>28.8972342666667</c:v>
                </c:pt>
                <c:pt idx="80">
                  <c:v>21.7962265333333</c:v>
                </c:pt>
                <c:pt idx="81">
                  <c:v>20.824875666666699</c:v>
                </c:pt>
                <c:pt idx="82">
                  <c:v>20.780821799999998</c:v>
                </c:pt>
                <c:pt idx="83">
                  <c:v>22.677804933333299</c:v>
                </c:pt>
                <c:pt idx="84">
                  <c:v>20.1330186666667</c:v>
                </c:pt>
                <c:pt idx="85">
                  <c:v>25.9692367333333</c:v>
                </c:pt>
                <c:pt idx="86">
                  <c:v>29.769136466666701</c:v>
                </c:pt>
                <c:pt idx="87">
                  <c:v>13.9738147999999</c:v>
                </c:pt>
                <c:pt idx="88">
                  <c:v>22.535752866666702</c:v>
                </c:pt>
                <c:pt idx="89">
                  <c:v>23.571675933333299</c:v>
                </c:pt>
                <c:pt idx="90">
                  <c:v>11.977554866666701</c:v>
                </c:pt>
                <c:pt idx="91">
                  <c:v>24.185780266666701</c:v>
                </c:pt>
                <c:pt idx="92">
                  <c:v>13.924280266666701</c:v>
                </c:pt>
                <c:pt idx="93">
                  <c:v>15.8514048666667</c:v>
                </c:pt>
                <c:pt idx="94">
                  <c:v>21.417606266666699</c:v>
                </c:pt>
                <c:pt idx="95">
                  <c:v>24.014765733333299</c:v>
                </c:pt>
                <c:pt idx="96">
                  <c:v>26.357135799999998</c:v>
                </c:pt>
                <c:pt idx="97">
                  <c:v>12.1287587333332</c:v>
                </c:pt>
                <c:pt idx="98">
                  <c:v>27.1599811333333</c:v>
                </c:pt>
                <c:pt idx="99">
                  <c:v>24.447137600000001</c:v>
                </c:pt>
                <c:pt idx="100">
                  <c:v>25.2749402666667</c:v>
                </c:pt>
                <c:pt idx="101">
                  <c:v>19.9363398666667</c:v>
                </c:pt>
                <c:pt idx="102">
                  <c:v>28.8964647333333</c:v>
                </c:pt>
                <c:pt idx="103">
                  <c:v>25.9562590666667</c:v>
                </c:pt>
                <c:pt idx="104">
                  <c:v>21.956503666666698</c:v>
                </c:pt>
                <c:pt idx="105">
                  <c:v>27.521374533333301</c:v>
                </c:pt>
                <c:pt idx="106">
                  <c:v>26.706131800000001</c:v>
                </c:pt>
                <c:pt idx="107">
                  <c:v>23.7471742</c:v>
                </c:pt>
                <c:pt idx="108">
                  <c:v>13.938319533333299</c:v>
                </c:pt>
                <c:pt idx="109">
                  <c:v>28.914320199999999</c:v>
                </c:pt>
                <c:pt idx="110">
                  <c:v>28.070477933333301</c:v>
                </c:pt>
                <c:pt idx="111">
                  <c:v>26.085391066666698</c:v>
                </c:pt>
                <c:pt idx="112">
                  <c:v>17.5477572</c:v>
                </c:pt>
                <c:pt idx="113">
                  <c:v>18.9864273333333</c:v>
                </c:pt>
                <c:pt idx="114">
                  <c:v>17.475801733333299</c:v>
                </c:pt>
                <c:pt idx="115">
                  <c:v>16.176993866666699</c:v>
                </c:pt>
                <c:pt idx="116">
                  <c:v>21.8816469333333</c:v>
                </c:pt>
                <c:pt idx="117">
                  <c:v>10.0439326666667</c:v>
                </c:pt>
                <c:pt idx="118">
                  <c:v>9.1212181333333309</c:v>
                </c:pt>
                <c:pt idx="119">
                  <c:v>23.2337593333333</c:v>
                </c:pt>
                <c:pt idx="120">
                  <c:v>27.9702782666667</c:v>
                </c:pt>
                <c:pt idx="121">
                  <c:v>25.793455000000002</c:v>
                </c:pt>
                <c:pt idx="122">
                  <c:v>25.992360600000001</c:v>
                </c:pt>
                <c:pt idx="123">
                  <c:v>24.095206466666699</c:v>
                </c:pt>
                <c:pt idx="124">
                  <c:v>20.355124199999999</c:v>
                </c:pt>
                <c:pt idx="125">
                  <c:v>22.4894385333332</c:v>
                </c:pt>
                <c:pt idx="126">
                  <c:v>29.0434189333332</c:v>
                </c:pt>
                <c:pt idx="127">
                  <c:v>28.259081999999999</c:v>
                </c:pt>
                <c:pt idx="128">
                  <c:v>25.168011066666701</c:v>
                </c:pt>
                <c:pt idx="129">
                  <c:v>30.572651133333299</c:v>
                </c:pt>
                <c:pt idx="130">
                  <c:v>25.091490733333298</c:v>
                </c:pt>
                <c:pt idx="131">
                  <c:v>29.0082952666667</c:v>
                </c:pt>
                <c:pt idx="132">
                  <c:v>19.3551112</c:v>
                </c:pt>
                <c:pt idx="133">
                  <c:v>29.485837666666701</c:v>
                </c:pt>
                <c:pt idx="134">
                  <c:v>6.7962597333333301</c:v>
                </c:pt>
                <c:pt idx="135">
                  <c:v>11.950958866666699</c:v>
                </c:pt>
                <c:pt idx="136">
                  <c:v>15.752454533333299</c:v>
                </c:pt>
                <c:pt idx="137">
                  <c:v>17.506428866666699</c:v>
                </c:pt>
                <c:pt idx="138">
                  <c:v>23.369382600000002</c:v>
                </c:pt>
                <c:pt idx="139">
                  <c:v>24.368652399999998</c:v>
                </c:pt>
                <c:pt idx="140">
                  <c:v>29.109001266666699</c:v>
                </c:pt>
                <c:pt idx="141">
                  <c:v>18.771579733333301</c:v>
                </c:pt>
                <c:pt idx="142">
                  <c:v>21.6695341333333</c:v>
                </c:pt>
                <c:pt idx="143">
                  <c:v>28.142409733333299</c:v>
                </c:pt>
                <c:pt idx="144">
                  <c:v>23.941950266666701</c:v>
                </c:pt>
                <c:pt idx="145">
                  <c:v>23.485891200000001</c:v>
                </c:pt>
                <c:pt idx="146">
                  <c:v>25.951478066666699</c:v>
                </c:pt>
                <c:pt idx="147">
                  <c:v>24.223348533333301</c:v>
                </c:pt>
                <c:pt idx="148">
                  <c:v>20.7975766666667</c:v>
                </c:pt>
                <c:pt idx="149">
                  <c:v>27.317230933333299</c:v>
                </c:pt>
                <c:pt idx="150">
                  <c:v>20.6727207333333</c:v>
                </c:pt>
                <c:pt idx="151">
                  <c:v>27.4176990666666</c:v>
                </c:pt>
                <c:pt idx="152">
                  <c:v>29.245907800000001</c:v>
                </c:pt>
                <c:pt idx="153">
                  <c:v>29.108941600000001</c:v>
                </c:pt>
                <c:pt idx="154">
                  <c:v>17.294893200000001</c:v>
                </c:pt>
                <c:pt idx="155">
                  <c:v>27.992904266666699</c:v>
                </c:pt>
                <c:pt idx="156">
                  <c:v>14.4683359333333</c:v>
                </c:pt>
                <c:pt idx="157">
                  <c:v>29.748954333333302</c:v>
                </c:pt>
                <c:pt idx="158">
                  <c:v>20.8752964</c:v>
                </c:pt>
                <c:pt idx="159">
                  <c:v>23.048512866666702</c:v>
                </c:pt>
                <c:pt idx="160">
                  <c:v>10.9650305333333</c:v>
                </c:pt>
                <c:pt idx="161">
                  <c:v>28.893043599999999</c:v>
                </c:pt>
                <c:pt idx="162">
                  <c:v>14.2030257333333</c:v>
                </c:pt>
                <c:pt idx="163">
                  <c:v>13.676292</c:v>
                </c:pt>
                <c:pt idx="164">
                  <c:v>27.1356857333333</c:v>
                </c:pt>
                <c:pt idx="165">
                  <c:v>23.8336082</c:v>
                </c:pt>
                <c:pt idx="166">
                  <c:v>24.363314533333298</c:v>
                </c:pt>
                <c:pt idx="167">
                  <c:v>21.246313066666701</c:v>
                </c:pt>
                <c:pt idx="168">
                  <c:v>25.184896533333301</c:v>
                </c:pt>
                <c:pt idx="169">
                  <c:v>29.964548799999999</c:v>
                </c:pt>
                <c:pt idx="170">
                  <c:v>28.614645733333301</c:v>
                </c:pt>
                <c:pt idx="171">
                  <c:v>29.709917799999999</c:v>
                </c:pt>
                <c:pt idx="172">
                  <c:v>18.183635666666699</c:v>
                </c:pt>
                <c:pt idx="173">
                  <c:v>28.379096333333301</c:v>
                </c:pt>
                <c:pt idx="174">
                  <c:v>27.1117384</c:v>
                </c:pt>
                <c:pt idx="175">
                  <c:v>22.1454198666667</c:v>
                </c:pt>
                <c:pt idx="176">
                  <c:v>29.070470400000001</c:v>
                </c:pt>
                <c:pt idx="177">
                  <c:v>28.775350599999999</c:v>
                </c:pt>
                <c:pt idx="178">
                  <c:v>25.869140266666701</c:v>
                </c:pt>
                <c:pt idx="179">
                  <c:v>16.822893466666699</c:v>
                </c:pt>
                <c:pt idx="180">
                  <c:v>21.930828066666699</c:v>
                </c:pt>
                <c:pt idx="181">
                  <c:v>29.398678400000001</c:v>
                </c:pt>
                <c:pt idx="182">
                  <c:v>25.8659952</c:v>
                </c:pt>
                <c:pt idx="183">
                  <c:v>16.8954311333333</c:v>
                </c:pt>
                <c:pt idx="184">
                  <c:v>27.516056800000001</c:v>
                </c:pt>
                <c:pt idx="185">
                  <c:v>16.8250581333333</c:v>
                </c:pt>
                <c:pt idx="186">
                  <c:v>28.630833266666698</c:v>
                </c:pt>
                <c:pt idx="187">
                  <c:v>27.0309402666667</c:v>
                </c:pt>
                <c:pt idx="188">
                  <c:v>22.3185449333332</c:v>
                </c:pt>
                <c:pt idx="189">
                  <c:v>16.420672133333301</c:v>
                </c:pt>
                <c:pt idx="190">
                  <c:v>25.062127199999999</c:v>
                </c:pt>
                <c:pt idx="191">
                  <c:v>26.7016204666667</c:v>
                </c:pt>
                <c:pt idx="192">
                  <c:v>22.083789733333301</c:v>
                </c:pt>
                <c:pt idx="193">
                  <c:v>11.1800768</c:v>
                </c:pt>
                <c:pt idx="194">
                  <c:v>25.0893311333333</c:v>
                </c:pt>
                <c:pt idx="195">
                  <c:v>25.266380266666701</c:v>
                </c:pt>
                <c:pt idx="196">
                  <c:v>28.263739333333302</c:v>
                </c:pt>
                <c:pt idx="197">
                  <c:v>23.2592197333333</c:v>
                </c:pt>
                <c:pt idx="198">
                  <c:v>29.534903199999999</c:v>
                </c:pt>
                <c:pt idx="199">
                  <c:v>27.9398172</c:v>
                </c:pt>
                <c:pt idx="200">
                  <c:v>16.517002933333298</c:v>
                </c:pt>
                <c:pt idx="201">
                  <c:v>10.4743844</c:v>
                </c:pt>
                <c:pt idx="202">
                  <c:v>28.891102866666699</c:v>
                </c:pt>
                <c:pt idx="203">
                  <c:v>30.833447733333301</c:v>
                </c:pt>
                <c:pt idx="204">
                  <c:v>25.567316533333301</c:v>
                </c:pt>
                <c:pt idx="205">
                  <c:v>28.3432711333333</c:v>
                </c:pt>
                <c:pt idx="206">
                  <c:v>31.945571933333301</c:v>
                </c:pt>
                <c:pt idx="207">
                  <c:v>16.2753527333333</c:v>
                </c:pt>
                <c:pt idx="208">
                  <c:v>11.5030424</c:v>
                </c:pt>
                <c:pt idx="209">
                  <c:v>28.896342733333299</c:v>
                </c:pt>
                <c:pt idx="210">
                  <c:v>22.673868599999999</c:v>
                </c:pt>
                <c:pt idx="211">
                  <c:v>25.366689933333301</c:v>
                </c:pt>
                <c:pt idx="212">
                  <c:v>25.893501133333299</c:v>
                </c:pt>
                <c:pt idx="213">
                  <c:v>19.513154466666698</c:v>
                </c:pt>
                <c:pt idx="214">
                  <c:v>28.247432466666702</c:v>
                </c:pt>
                <c:pt idx="215">
                  <c:v>18.555799400000001</c:v>
                </c:pt>
                <c:pt idx="216">
                  <c:v>24.210657466666699</c:v>
                </c:pt>
                <c:pt idx="217">
                  <c:v>14.601353599999999</c:v>
                </c:pt>
                <c:pt idx="218">
                  <c:v>29.2541166</c:v>
                </c:pt>
                <c:pt idx="219">
                  <c:v>19.946873466666698</c:v>
                </c:pt>
                <c:pt idx="220">
                  <c:v>22.420577866666701</c:v>
                </c:pt>
                <c:pt idx="221">
                  <c:v>28.5442972666667</c:v>
                </c:pt>
                <c:pt idx="222">
                  <c:v>28.450928600000001</c:v>
                </c:pt>
                <c:pt idx="223">
                  <c:v>22.7429362666667</c:v>
                </c:pt>
                <c:pt idx="224">
                  <c:v>28.112884933333302</c:v>
                </c:pt>
                <c:pt idx="225">
                  <c:v>18.064887599999999</c:v>
                </c:pt>
                <c:pt idx="226">
                  <c:v>28.881335</c:v>
                </c:pt>
                <c:pt idx="227">
                  <c:v>28.338939266666699</c:v>
                </c:pt>
                <c:pt idx="228">
                  <c:v>14.5090993333333</c:v>
                </c:pt>
                <c:pt idx="229">
                  <c:v>28.1093798666667</c:v>
                </c:pt>
                <c:pt idx="230">
                  <c:v>22.624037933333302</c:v>
                </c:pt>
                <c:pt idx="231">
                  <c:v>28.5186429333333</c:v>
                </c:pt>
                <c:pt idx="232">
                  <c:v>17.2980551333333</c:v>
                </c:pt>
                <c:pt idx="233">
                  <c:v>22.092375933333301</c:v>
                </c:pt>
                <c:pt idx="234">
                  <c:v>29.097951666666699</c:v>
                </c:pt>
                <c:pt idx="235">
                  <c:v>16.413698066666701</c:v>
                </c:pt>
                <c:pt idx="236">
                  <c:v>24.846518799999998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DE-452D-8C71-C6BD4347E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746384"/>
        <c:axId val="470747344"/>
      </c:scatterChart>
      <c:valAx>
        <c:axId val="470746384"/>
        <c:scaling>
          <c:orientation val="minMax"/>
          <c:max val="32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747344"/>
        <c:crosses val="autoZero"/>
        <c:crossBetween val="midCat"/>
      </c:valAx>
      <c:valAx>
        <c:axId val="470747344"/>
        <c:scaling>
          <c:orientation val="minMax"/>
          <c:max val="32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7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5875">
                <a:solidFill>
                  <a:schemeClr val="accent1"/>
                </a:solidFill>
              </a:ln>
              <a:effectLst/>
            </c:spPr>
          </c:marker>
          <c:xVal>
            <c:numRef>
              <c:f>Blast238!$AM$40:$AM$276</c:f>
              <c:numCache>
                <c:formatCode>General</c:formatCode>
                <c:ptCount val="237"/>
                <c:pt idx="0">
                  <c:v>10.113715599999999</c:v>
                </c:pt>
                <c:pt idx="1">
                  <c:v>20.221043333333299</c:v>
                </c:pt>
                <c:pt idx="2">
                  <c:v>6.7445698666666996</c:v>
                </c:pt>
                <c:pt idx="3">
                  <c:v>5.7100133333300107E-2</c:v>
                </c:pt>
                <c:pt idx="4">
                  <c:v>3.3994933333333002</c:v>
                </c:pt>
                <c:pt idx="5">
                  <c:v>0.66428946666670008</c:v>
                </c:pt>
                <c:pt idx="6">
                  <c:v>3.8360959999999995</c:v>
                </c:pt>
                <c:pt idx="7">
                  <c:v>14.2309124666667</c:v>
                </c:pt>
                <c:pt idx="8">
                  <c:v>14.6734088666667</c:v>
                </c:pt>
                <c:pt idx="9">
                  <c:v>6.9101533333299159E-2</c:v>
                </c:pt>
                <c:pt idx="10">
                  <c:v>15.554736933333299</c:v>
                </c:pt>
                <c:pt idx="11">
                  <c:v>6.6666667031256566E-7</c:v>
                </c:pt>
                <c:pt idx="12">
                  <c:v>2.9463417333332984</c:v>
                </c:pt>
                <c:pt idx="13">
                  <c:v>1.5324061333332999</c:v>
                </c:pt>
                <c:pt idx="14">
                  <c:v>0.14468319999999935</c:v>
                </c:pt>
                <c:pt idx="15">
                  <c:v>4.0154569999999978</c:v>
                </c:pt>
                <c:pt idx="16">
                  <c:v>8.4614587333332985</c:v>
                </c:pt>
                <c:pt idx="17">
                  <c:v>6.6047399999998646E-2</c:v>
                </c:pt>
                <c:pt idx="18">
                  <c:v>1.8663600000000002E-2</c:v>
                </c:pt>
                <c:pt idx="19">
                  <c:v>1.4344274666667012</c:v>
                </c:pt>
                <c:pt idx="20">
                  <c:v>2.1926267999999993</c:v>
                </c:pt>
                <c:pt idx="21">
                  <c:v>18.741697600000002</c:v>
                </c:pt>
                <c:pt idx="22">
                  <c:v>5.4522221333332972</c:v>
                </c:pt>
                <c:pt idx="23">
                  <c:v>0.11722866666670129</c:v>
                </c:pt>
                <c:pt idx="24">
                  <c:v>2.1315032000000009</c:v>
                </c:pt>
                <c:pt idx="25">
                  <c:v>12.598519199999998</c:v>
                </c:pt>
                <c:pt idx="26">
                  <c:v>6.8843600000001004E-2</c:v>
                </c:pt>
                <c:pt idx="27">
                  <c:v>5.1025275999999984</c:v>
                </c:pt>
                <c:pt idx="28">
                  <c:v>0.63011859999999942</c:v>
                </c:pt>
                <c:pt idx="29">
                  <c:v>1.6493133333300491E-2</c:v>
                </c:pt>
                <c:pt idx="30">
                  <c:v>13.285797333333301</c:v>
                </c:pt>
                <c:pt idx="31">
                  <c:v>8.0725684666666986</c:v>
                </c:pt>
                <c:pt idx="32">
                  <c:v>8.5206000000006554E-3</c:v>
                </c:pt>
                <c:pt idx="33">
                  <c:v>3.3190799999999854E-2</c:v>
                </c:pt>
                <c:pt idx="34">
                  <c:v>5.1548232000000027</c:v>
                </c:pt>
                <c:pt idx="35">
                  <c:v>8.5366700666666979</c:v>
                </c:pt>
                <c:pt idx="36">
                  <c:v>6.5549799999999436E-2</c:v>
                </c:pt>
                <c:pt idx="37">
                  <c:v>6.4296681333333012</c:v>
                </c:pt>
                <c:pt idx="38">
                  <c:v>3.5529328000000007</c:v>
                </c:pt>
                <c:pt idx="39">
                  <c:v>4.2494674666666974</c:v>
                </c:pt>
                <c:pt idx="40">
                  <c:v>6.048033333329883E-2</c:v>
                </c:pt>
                <c:pt idx="41">
                  <c:v>6.1477001333332986</c:v>
                </c:pt>
                <c:pt idx="42">
                  <c:v>3.0456710000000005</c:v>
                </c:pt>
                <c:pt idx="43">
                  <c:v>1.1377774666665985</c:v>
                </c:pt>
                <c:pt idx="44">
                  <c:v>12.299435599999999</c:v>
                </c:pt>
                <c:pt idx="45">
                  <c:v>7.6378599999999963E-2</c:v>
                </c:pt>
                <c:pt idx="46">
                  <c:v>7.2548090666666987</c:v>
                </c:pt>
                <c:pt idx="47">
                  <c:v>4.0112933333299239E-2</c:v>
                </c:pt>
                <c:pt idx="48">
                  <c:v>20.402537866666702</c:v>
                </c:pt>
                <c:pt idx="49">
                  <c:v>0.13265673333330064</c:v>
                </c:pt>
                <c:pt idx="50">
                  <c:v>3.0861200000000366E-2</c:v>
                </c:pt>
                <c:pt idx="51">
                  <c:v>11.727142333333298</c:v>
                </c:pt>
                <c:pt idx="52">
                  <c:v>6.8239399999999506E-2</c:v>
                </c:pt>
                <c:pt idx="53">
                  <c:v>0.81478033333329947</c:v>
                </c:pt>
                <c:pt idx="54">
                  <c:v>16.9029110666667</c:v>
                </c:pt>
                <c:pt idx="55">
                  <c:v>9.6010910666667009</c:v>
                </c:pt>
                <c:pt idx="56">
                  <c:v>8.2385801333333006</c:v>
                </c:pt>
                <c:pt idx="57">
                  <c:v>8.8645285333333028</c:v>
                </c:pt>
                <c:pt idx="58">
                  <c:v>8.6731334000000011</c:v>
                </c:pt>
                <c:pt idx="59">
                  <c:v>15.479865</c:v>
                </c:pt>
                <c:pt idx="60">
                  <c:v>14.7924423333333</c:v>
                </c:pt>
                <c:pt idx="61">
                  <c:v>0.18755546666670142</c:v>
                </c:pt>
                <c:pt idx="62">
                  <c:v>0.17421746666670046</c:v>
                </c:pt>
                <c:pt idx="63">
                  <c:v>5.6043543333333012</c:v>
                </c:pt>
                <c:pt idx="64">
                  <c:v>2.7595699333332995</c:v>
                </c:pt>
                <c:pt idx="65">
                  <c:v>13.6758785333333</c:v>
                </c:pt>
                <c:pt idx="66">
                  <c:v>3.5796910666666975</c:v>
                </c:pt>
                <c:pt idx="67">
                  <c:v>0.17104353333330025</c:v>
                </c:pt>
                <c:pt idx="68">
                  <c:v>7.4512303333333012</c:v>
                </c:pt>
                <c:pt idx="69">
                  <c:v>3.17744759999999</c:v>
                </c:pt>
                <c:pt idx="70">
                  <c:v>12.896833600000001</c:v>
                </c:pt>
                <c:pt idx="71">
                  <c:v>1.9776333333300755E-2</c:v>
                </c:pt>
                <c:pt idx="72">
                  <c:v>9.1861777999999994</c:v>
                </c:pt>
                <c:pt idx="73">
                  <c:v>7.8629119333332991</c:v>
                </c:pt>
                <c:pt idx="74">
                  <c:v>1.6089884666667018</c:v>
                </c:pt>
                <c:pt idx="75">
                  <c:v>10.165179200000001</c:v>
                </c:pt>
                <c:pt idx="76">
                  <c:v>2.0367333333020099E-3</c:v>
                </c:pt>
                <c:pt idx="77">
                  <c:v>5.0767220666667008</c:v>
                </c:pt>
                <c:pt idx="78">
                  <c:v>2.1107533333299955E-2</c:v>
                </c:pt>
                <c:pt idx="79">
                  <c:v>2.8545342666667004</c:v>
                </c:pt>
                <c:pt idx="80">
                  <c:v>1.6462265333333015</c:v>
                </c:pt>
                <c:pt idx="81">
                  <c:v>5.9380756666667001</c:v>
                </c:pt>
                <c:pt idx="82">
                  <c:v>3.4832782000000009</c:v>
                </c:pt>
                <c:pt idx="83">
                  <c:v>0.13990493333329823</c:v>
                </c:pt>
                <c:pt idx="84">
                  <c:v>1.8818666666700068E-2</c:v>
                </c:pt>
                <c:pt idx="85">
                  <c:v>8.4041367333332992</c:v>
                </c:pt>
                <c:pt idx="86">
                  <c:v>7.723646666670092E-2</c:v>
                </c:pt>
                <c:pt idx="87">
                  <c:v>0.1637147999998998</c:v>
                </c:pt>
                <c:pt idx="88">
                  <c:v>13.797912866666701</c:v>
                </c:pt>
                <c:pt idx="89">
                  <c:v>1.758275933333298</c:v>
                </c:pt>
                <c:pt idx="90">
                  <c:v>0.13125486666670128</c:v>
                </c:pt>
                <c:pt idx="91">
                  <c:v>13.492780266666701</c:v>
                </c:pt>
                <c:pt idx="92">
                  <c:v>5.3680266666701115E-2</c:v>
                </c:pt>
                <c:pt idx="93">
                  <c:v>2.9095133333299827E-2</c:v>
                </c:pt>
                <c:pt idx="94">
                  <c:v>3.0476062666666976</c:v>
                </c:pt>
                <c:pt idx="95">
                  <c:v>8.7992657333332982</c:v>
                </c:pt>
                <c:pt idx="96">
                  <c:v>3.5788642000000017</c:v>
                </c:pt>
                <c:pt idx="97">
                  <c:v>4.1741266666800669E-2</c:v>
                </c:pt>
                <c:pt idx="98">
                  <c:v>12.898981133333301</c:v>
                </c:pt>
                <c:pt idx="99">
                  <c:v>0.15303760000000111</c:v>
                </c:pt>
                <c:pt idx="100">
                  <c:v>14.8145402666667</c:v>
                </c:pt>
                <c:pt idx="101">
                  <c:v>12.7413798666667</c:v>
                </c:pt>
                <c:pt idx="102">
                  <c:v>7.3964733333298227E-2</c:v>
                </c:pt>
                <c:pt idx="103">
                  <c:v>2.1281590666667007</c:v>
                </c:pt>
                <c:pt idx="104">
                  <c:v>7.2720036666666985</c:v>
                </c:pt>
                <c:pt idx="105">
                  <c:v>4.4592745333332999</c:v>
                </c:pt>
                <c:pt idx="106">
                  <c:v>6.5965318000000011</c:v>
                </c:pt>
                <c:pt idx="107">
                  <c:v>0.90117419999999981</c:v>
                </c:pt>
                <c:pt idx="108">
                  <c:v>8.0423795333332997</c:v>
                </c:pt>
                <c:pt idx="109">
                  <c:v>3.7320199999999915E-2</c:v>
                </c:pt>
                <c:pt idx="110">
                  <c:v>9.4068779333333019</c:v>
                </c:pt>
                <c:pt idx="111">
                  <c:v>4.2235910666666996</c:v>
                </c:pt>
                <c:pt idx="112">
                  <c:v>3.2757199999998932E-2</c:v>
                </c:pt>
                <c:pt idx="113">
                  <c:v>3.0220273333333001</c:v>
                </c:pt>
                <c:pt idx="114">
                  <c:v>12.014881733333299</c:v>
                </c:pt>
                <c:pt idx="115">
                  <c:v>3.0893866666698244E-2</c:v>
                </c:pt>
                <c:pt idx="116">
                  <c:v>9.0272469333333003</c:v>
                </c:pt>
                <c:pt idx="117">
                  <c:v>3.5067333333300255E-2</c:v>
                </c:pt>
                <c:pt idx="118">
                  <c:v>2.7211866666668527E-2</c:v>
                </c:pt>
                <c:pt idx="119">
                  <c:v>15.533229333333299</c:v>
                </c:pt>
                <c:pt idx="120">
                  <c:v>15.8396782666667</c:v>
                </c:pt>
                <c:pt idx="121">
                  <c:v>1.1593449999999983</c:v>
                </c:pt>
                <c:pt idx="122">
                  <c:v>6.3251606000000002</c:v>
                </c:pt>
                <c:pt idx="123">
                  <c:v>8.2783064666666988</c:v>
                </c:pt>
                <c:pt idx="124">
                  <c:v>7.1824199999998228E-2</c:v>
                </c:pt>
                <c:pt idx="125">
                  <c:v>8.9138533333198211E-2</c:v>
                </c:pt>
                <c:pt idx="126">
                  <c:v>4.6730189333332</c:v>
                </c:pt>
                <c:pt idx="127">
                  <c:v>4.3577820000000003</c:v>
                </c:pt>
                <c:pt idx="128">
                  <c:v>7.4889333332990304E-3</c:v>
                </c:pt>
                <c:pt idx="129">
                  <c:v>2.5448866666700098E-2</c:v>
                </c:pt>
                <c:pt idx="130">
                  <c:v>0.14359073333329775</c:v>
                </c:pt>
                <c:pt idx="131">
                  <c:v>2.1402952666667012</c:v>
                </c:pt>
                <c:pt idx="132">
                  <c:v>1.4088799999999679E-2</c:v>
                </c:pt>
                <c:pt idx="133">
                  <c:v>6.9302376666667023</c:v>
                </c:pt>
                <c:pt idx="134">
                  <c:v>4.0667402666666694</c:v>
                </c:pt>
                <c:pt idx="135">
                  <c:v>0.11065886666670011</c:v>
                </c:pt>
                <c:pt idx="136">
                  <c:v>3.7227545333332994</c:v>
                </c:pt>
                <c:pt idx="137">
                  <c:v>0.13722886666669964</c:v>
                </c:pt>
                <c:pt idx="138">
                  <c:v>3.0761826000000028</c:v>
                </c:pt>
                <c:pt idx="139">
                  <c:v>0.14195239999999743</c:v>
                </c:pt>
                <c:pt idx="140">
                  <c:v>4.6766012666666974</c:v>
                </c:pt>
                <c:pt idx="141">
                  <c:v>6.1047797333333005</c:v>
                </c:pt>
                <c:pt idx="142">
                  <c:v>0.42636586666669984</c:v>
                </c:pt>
                <c:pt idx="143">
                  <c:v>2.8952097333332993</c:v>
                </c:pt>
                <c:pt idx="144">
                  <c:v>2.3054502666666998</c:v>
                </c:pt>
                <c:pt idx="145">
                  <c:v>9.6493912000000019</c:v>
                </c:pt>
                <c:pt idx="146">
                  <c:v>2.2587780666667001</c:v>
                </c:pt>
                <c:pt idx="147">
                  <c:v>0.11174853333330148</c:v>
                </c:pt>
                <c:pt idx="148">
                  <c:v>3.4570233333333</c:v>
                </c:pt>
                <c:pt idx="149">
                  <c:v>3.1315309333332983</c:v>
                </c:pt>
                <c:pt idx="150">
                  <c:v>10.0775207333333</c:v>
                </c:pt>
                <c:pt idx="151">
                  <c:v>0.4961990666665983</c:v>
                </c:pt>
                <c:pt idx="152">
                  <c:v>0.60300780000000032</c:v>
                </c:pt>
                <c:pt idx="153">
                  <c:v>19.954731600000002</c:v>
                </c:pt>
                <c:pt idx="154">
                  <c:v>2.0842932000000012</c:v>
                </c:pt>
                <c:pt idx="155">
                  <c:v>4.4042666667003516E-3</c:v>
                </c:pt>
                <c:pt idx="156">
                  <c:v>2.636406666669977E-2</c:v>
                </c:pt>
                <c:pt idx="157">
                  <c:v>13.196454333333303</c:v>
                </c:pt>
                <c:pt idx="158">
                  <c:v>5.4996400000000278E-2</c:v>
                </c:pt>
                <c:pt idx="159">
                  <c:v>13.081062866666702</c:v>
                </c:pt>
                <c:pt idx="160">
                  <c:v>2.246946666670091E-2</c:v>
                </c:pt>
                <c:pt idx="161">
                  <c:v>5.2276435999999968</c:v>
                </c:pt>
                <c:pt idx="162">
                  <c:v>5.3325733333300818E-2</c:v>
                </c:pt>
                <c:pt idx="163">
                  <c:v>2.2167919999999999</c:v>
                </c:pt>
                <c:pt idx="164">
                  <c:v>2.2425857333332999</c:v>
                </c:pt>
                <c:pt idx="165">
                  <c:v>4.0504081999999997</c:v>
                </c:pt>
                <c:pt idx="166">
                  <c:v>13.257214533333299</c:v>
                </c:pt>
                <c:pt idx="167">
                  <c:v>7.6313066666699569E-2</c:v>
                </c:pt>
                <c:pt idx="168">
                  <c:v>1.5354965333333013</c:v>
                </c:pt>
                <c:pt idx="169">
                  <c:v>7.3598487999999982</c:v>
                </c:pt>
                <c:pt idx="170">
                  <c:v>14.502645733333301</c:v>
                </c:pt>
                <c:pt idx="171">
                  <c:v>2.8317799999999949E-2</c:v>
                </c:pt>
                <c:pt idx="172">
                  <c:v>8.2335666666701002E-2</c:v>
                </c:pt>
                <c:pt idx="173">
                  <c:v>0.43999633333330124</c:v>
                </c:pt>
                <c:pt idx="174">
                  <c:v>3.4968384000000015</c:v>
                </c:pt>
                <c:pt idx="175">
                  <c:v>9.7122198666667003</c:v>
                </c:pt>
                <c:pt idx="176">
                  <c:v>11.507570400000002</c:v>
                </c:pt>
                <c:pt idx="177">
                  <c:v>4.7237505999999989</c:v>
                </c:pt>
                <c:pt idx="178">
                  <c:v>8.3785402666667004</c:v>
                </c:pt>
                <c:pt idx="179">
                  <c:v>8.093466666696969E-3</c:v>
                </c:pt>
                <c:pt idx="180">
                  <c:v>0.8971280666666992</c:v>
                </c:pt>
                <c:pt idx="181">
                  <c:v>2.242159999999771E-2</c:v>
                </c:pt>
                <c:pt idx="182">
                  <c:v>0.80499520000000047</c:v>
                </c:pt>
                <c:pt idx="183">
                  <c:v>1.6531133333298698E-2</c:v>
                </c:pt>
                <c:pt idx="184">
                  <c:v>8.012656800000002</c:v>
                </c:pt>
                <c:pt idx="185">
                  <c:v>0.8244418666666995</c:v>
                </c:pt>
                <c:pt idx="186">
                  <c:v>3.1871332666666987</c:v>
                </c:pt>
                <c:pt idx="187">
                  <c:v>9.3561402666666993</c:v>
                </c:pt>
                <c:pt idx="188">
                  <c:v>14.180864933333201</c:v>
                </c:pt>
                <c:pt idx="189">
                  <c:v>6.7118278666666988</c:v>
                </c:pt>
                <c:pt idx="190">
                  <c:v>2.1835728000000003</c:v>
                </c:pt>
                <c:pt idx="191">
                  <c:v>5.6979533333301191E-2</c:v>
                </c:pt>
                <c:pt idx="192">
                  <c:v>5.0821897333333013</c:v>
                </c:pt>
                <c:pt idx="193">
                  <c:v>0.27387680000000003</c:v>
                </c:pt>
                <c:pt idx="194">
                  <c:v>4.6228311333332996</c:v>
                </c:pt>
                <c:pt idx="195">
                  <c:v>2.8585197333332992</c:v>
                </c:pt>
                <c:pt idx="196">
                  <c:v>9.4152393333333002</c:v>
                </c:pt>
                <c:pt idx="197">
                  <c:v>8.4242197333332989</c:v>
                </c:pt>
                <c:pt idx="198">
                  <c:v>19.935323199999999</c:v>
                </c:pt>
                <c:pt idx="199">
                  <c:v>13.5077172</c:v>
                </c:pt>
                <c:pt idx="200">
                  <c:v>2.4402933333298904E-2</c:v>
                </c:pt>
                <c:pt idx="201">
                  <c:v>0.12031559999999963</c:v>
                </c:pt>
                <c:pt idx="202">
                  <c:v>11.686902866666699</c:v>
                </c:pt>
                <c:pt idx="203">
                  <c:v>13.647047733333302</c:v>
                </c:pt>
                <c:pt idx="204">
                  <c:v>4.3583466666699877E-2</c:v>
                </c:pt>
                <c:pt idx="205">
                  <c:v>3.7338711333332988</c:v>
                </c:pt>
                <c:pt idx="206">
                  <c:v>11.6518719333333</c:v>
                </c:pt>
                <c:pt idx="207">
                  <c:v>0.16415273333329949</c:v>
                </c:pt>
                <c:pt idx="208">
                  <c:v>5.8126575999999996</c:v>
                </c:pt>
                <c:pt idx="209">
                  <c:v>9.3055427333332972</c:v>
                </c:pt>
                <c:pt idx="210">
                  <c:v>8.1968599999999725E-2</c:v>
                </c:pt>
                <c:pt idx="211">
                  <c:v>0.4619100666667002</c:v>
                </c:pt>
                <c:pt idx="212">
                  <c:v>12.644801133333299</c:v>
                </c:pt>
                <c:pt idx="213">
                  <c:v>3.725446666669896E-2</c:v>
                </c:pt>
                <c:pt idx="214">
                  <c:v>1.2167533333297342E-2</c:v>
                </c:pt>
                <c:pt idx="215">
                  <c:v>8.4274005999999986</c:v>
                </c:pt>
                <c:pt idx="216">
                  <c:v>8.062957466666699</c:v>
                </c:pt>
                <c:pt idx="217">
                  <c:v>2.1535463999999997</c:v>
                </c:pt>
                <c:pt idx="218">
                  <c:v>6.8849166000000004</c:v>
                </c:pt>
                <c:pt idx="219">
                  <c:v>10.800543466666698</c:v>
                </c:pt>
                <c:pt idx="220">
                  <c:v>0.11987786666670175</c:v>
                </c:pt>
                <c:pt idx="221">
                  <c:v>1.0517027333333004</c:v>
                </c:pt>
                <c:pt idx="222">
                  <c:v>3.7728600000001222E-2</c:v>
                </c:pt>
                <c:pt idx="223">
                  <c:v>13.166286266666699</c:v>
                </c:pt>
                <c:pt idx="224">
                  <c:v>8.3550849333333019</c:v>
                </c:pt>
                <c:pt idx="225">
                  <c:v>9.0391375999999983</c:v>
                </c:pt>
                <c:pt idx="226">
                  <c:v>5.9890350000000012</c:v>
                </c:pt>
                <c:pt idx="227">
                  <c:v>8.581439266666699</c:v>
                </c:pt>
                <c:pt idx="228">
                  <c:v>3.2320006666666998</c:v>
                </c:pt>
                <c:pt idx="229">
                  <c:v>13.516679866666699</c:v>
                </c:pt>
                <c:pt idx="230">
                  <c:v>6.6562379333333013</c:v>
                </c:pt>
                <c:pt idx="231">
                  <c:v>5.1369429333333017</c:v>
                </c:pt>
                <c:pt idx="232">
                  <c:v>2.4655133333300938E-2</c:v>
                </c:pt>
                <c:pt idx="233">
                  <c:v>0.10117593333330177</c:v>
                </c:pt>
                <c:pt idx="234">
                  <c:v>8.7892516666666971</c:v>
                </c:pt>
                <c:pt idx="235">
                  <c:v>3.8598066666700959E-2</c:v>
                </c:pt>
                <c:pt idx="236">
                  <c:v>1.7269812000000009</c:v>
                </c:pt>
              </c:numCache>
            </c:numRef>
          </c:xVal>
          <c:yVal>
            <c:numRef>
              <c:f>Blast238!$AN$40:$AN$276</c:f>
              <c:numCache>
                <c:formatCode>General</c:formatCode>
                <c:ptCount val="237"/>
                <c:pt idx="0">
                  <c:v>28.1892518344705</c:v>
                </c:pt>
                <c:pt idx="1">
                  <c:v>15.108829274844499</c:v>
                </c:pt>
                <c:pt idx="2">
                  <c:v>23.9283008110399</c:v>
                </c:pt>
                <c:pt idx="3">
                  <c:v>92.007923453039297</c:v>
                </c:pt>
                <c:pt idx="4">
                  <c:v>14.9040676739367</c:v>
                </c:pt>
                <c:pt idx="5">
                  <c:v>23.986557721967401</c:v>
                </c:pt>
                <c:pt idx="6">
                  <c:v>11.9060808237877</c:v>
                </c:pt>
                <c:pt idx="7">
                  <c:v>29.0379677686939</c:v>
                </c:pt>
                <c:pt idx="8">
                  <c:v>32.070417572977099</c:v>
                </c:pt>
                <c:pt idx="9">
                  <c:v>20.723051900896799</c:v>
                </c:pt>
                <c:pt idx="10">
                  <c:v>21.4990718523973</c:v>
                </c:pt>
                <c:pt idx="11">
                  <c:v>16.4915487161099</c:v>
                </c:pt>
                <c:pt idx="12">
                  <c:v>42.3979440147872</c:v>
                </c:pt>
                <c:pt idx="13">
                  <c:v>17.656639703127802</c:v>
                </c:pt>
                <c:pt idx="14">
                  <c:v>28.115239530295302</c:v>
                </c:pt>
                <c:pt idx="15">
                  <c:v>21.1578723388429</c:v>
                </c:pt>
                <c:pt idx="16">
                  <c:v>34.5523495384884</c:v>
                </c:pt>
                <c:pt idx="17">
                  <c:v>32.277156118891703</c:v>
                </c:pt>
                <c:pt idx="18">
                  <c:v>26.133857048730999</c:v>
                </c:pt>
                <c:pt idx="19">
                  <c:v>24.977679695772501</c:v>
                </c:pt>
                <c:pt idx="20">
                  <c:v>27.235558798310301</c:v>
                </c:pt>
                <c:pt idx="21">
                  <c:v>19.149713745118099</c:v>
                </c:pt>
                <c:pt idx="22">
                  <c:v>19.577203253855199</c:v>
                </c:pt>
                <c:pt idx="23">
                  <c:v>30.772152327624699</c:v>
                </c:pt>
                <c:pt idx="24">
                  <c:v>14.389251925739201</c:v>
                </c:pt>
                <c:pt idx="25">
                  <c:v>18.757792529876301</c:v>
                </c:pt>
                <c:pt idx="26">
                  <c:v>24.733576353882398</c:v>
                </c:pt>
                <c:pt idx="27">
                  <c:v>17.196382501788399</c:v>
                </c:pt>
                <c:pt idx="28">
                  <c:v>19.124862205436798</c:v>
                </c:pt>
                <c:pt idx="29">
                  <c:v>22.927579345201899</c:v>
                </c:pt>
                <c:pt idx="30">
                  <c:v>23.7548212884195</c:v>
                </c:pt>
                <c:pt idx="31">
                  <c:v>29.069221254436801</c:v>
                </c:pt>
                <c:pt idx="32">
                  <c:v>27.454835364100699</c:v>
                </c:pt>
                <c:pt idx="33">
                  <c:v>25.861433667948099</c:v>
                </c:pt>
                <c:pt idx="34">
                  <c:v>23.362326024055101</c:v>
                </c:pt>
                <c:pt idx="35">
                  <c:v>35.847551138769703</c:v>
                </c:pt>
                <c:pt idx="36">
                  <c:v>24.651795663586501</c:v>
                </c:pt>
                <c:pt idx="37">
                  <c:v>42.911381036708903</c:v>
                </c:pt>
                <c:pt idx="38">
                  <c:v>22.184077905610302</c:v>
                </c:pt>
                <c:pt idx="39">
                  <c:v>27.282842529157602</c:v>
                </c:pt>
                <c:pt idx="40">
                  <c:v>30.9254988784724</c:v>
                </c:pt>
                <c:pt idx="41">
                  <c:v>23.8722009492975</c:v>
                </c:pt>
                <c:pt idx="42">
                  <c:v>29.972659779601901</c:v>
                </c:pt>
                <c:pt idx="43">
                  <c:v>20.677028058441799</c:v>
                </c:pt>
                <c:pt idx="44">
                  <c:v>26.270810931744599</c:v>
                </c:pt>
                <c:pt idx="45">
                  <c:v>23.788656199899599</c:v>
                </c:pt>
                <c:pt idx="46">
                  <c:v>25.115082234808298</c:v>
                </c:pt>
                <c:pt idx="47">
                  <c:v>41.055943900844802</c:v>
                </c:pt>
                <c:pt idx="48">
                  <c:v>21.516620001039499</c:v>
                </c:pt>
                <c:pt idx="49">
                  <c:v>40.851221187889401</c:v>
                </c:pt>
                <c:pt idx="50">
                  <c:v>60.860743829042903</c:v>
                </c:pt>
                <c:pt idx="51">
                  <c:v>27.279534015771901</c:v>
                </c:pt>
                <c:pt idx="52">
                  <c:v>32.393408807324299</c:v>
                </c:pt>
                <c:pt idx="53">
                  <c:v>32.791421171095699</c:v>
                </c:pt>
                <c:pt idx="54">
                  <c:v>17.642093548513301</c:v>
                </c:pt>
                <c:pt idx="55">
                  <c:v>16.978878843199499</c:v>
                </c:pt>
                <c:pt idx="56">
                  <c:v>28.857820839868801</c:v>
                </c:pt>
                <c:pt idx="57">
                  <c:v>21.356541427827199</c:v>
                </c:pt>
                <c:pt idx="58">
                  <c:v>23.012899058811499</c:v>
                </c:pt>
                <c:pt idx="59">
                  <c:v>22.040298067611399</c:v>
                </c:pt>
                <c:pt idx="60">
                  <c:v>19.7886924324633</c:v>
                </c:pt>
                <c:pt idx="61">
                  <c:v>38.224995631012099</c:v>
                </c:pt>
                <c:pt idx="62">
                  <c:v>22.9757638871959</c:v>
                </c:pt>
                <c:pt idx="63">
                  <c:v>32.781039878699303</c:v>
                </c:pt>
                <c:pt idx="64">
                  <c:v>38.050219646473401</c:v>
                </c:pt>
                <c:pt idx="65">
                  <c:v>14.7427197584339</c:v>
                </c:pt>
                <c:pt idx="66">
                  <c:v>30.744657587535801</c:v>
                </c:pt>
                <c:pt idx="67">
                  <c:v>34.232589194603101</c:v>
                </c:pt>
                <c:pt idx="68">
                  <c:v>17.668703061300899</c:v>
                </c:pt>
                <c:pt idx="69">
                  <c:v>14.247690126273</c:v>
                </c:pt>
                <c:pt idx="70">
                  <c:v>25.260422290199902</c:v>
                </c:pt>
                <c:pt idx="71">
                  <c:v>23.265821602991601</c:v>
                </c:pt>
                <c:pt idx="72">
                  <c:v>20.063451885488501</c:v>
                </c:pt>
                <c:pt idx="73">
                  <c:v>14.147846424336</c:v>
                </c:pt>
                <c:pt idx="74">
                  <c:v>28.6654690286666</c:v>
                </c:pt>
                <c:pt idx="75">
                  <c:v>22.8700440006028</c:v>
                </c:pt>
                <c:pt idx="76">
                  <c:v>28.353064083684401</c:v>
                </c:pt>
                <c:pt idx="77">
                  <c:v>23.497021735859398</c:v>
                </c:pt>
                <c:pt idx="78">
                  <c:v>17.920140400187499</c:v>
                </c:pt>
                <c:pt idx="79">
                  <c:v>21.6238674277147</c:v>
                </c:pt>
                <c:pt idx="80">
                  <c:v>13.587132101767301</c:v>
                </c:pt>
                <c:pt idx="81">
                  <c:v>36.483277670664698</c:v>
                </c:pt>
                <c:pt idx="82">
                  <c:v>32.072281848943597</c:v>
                </c:pt>
                <c:pt idx="83">
                  <c:v>36.420480257009501</c:v>
                </c:pt>
                <c:pt idx="84">
                  <c:v>26.791744741402901</c:v>
                </c:pt>
                <c:pt idx="85">
                  <c:v>20.184495365936002</c:v>
                </c:pt>
                <c:pt idx="86">
                  <c:v>25.422161646068801</c:v>
                </c:pt>
                <c:pt idx="87">
                  <c:v>16.201699518099399</c:v>
                </c:pt>
                <c:pt idx="88">
                  <c:v>23.707898802552201</c:v>
                </c:pt>
                <c:pt idx="89">
                  <c:v>19.740281226642001</c:v>
                </c:pt>
                <c:pt idx="90">
                  <c:v>27.4207402568764</c:v>
                </c:pt>
                <c:pt idx="91">
                  <c:v>16.207132383577001</c:v>
                </c:pt>
                <c:pt idx="92">
                  <c:v>18.406437572986199</c:v>
                </c:pt>
                <c:pt idx="93">
                  <c:v>31.265330285279699</c:v>
                </c:pt>
                <c:pt idx="94">
                  <c:v>23.717686855142102</c:v>
                </c:pt>
                <c:pt idx="95">
                  <c:v>22.7198652658657</c:v>
                </c:pt>
                <c:pt idx="96">
                  <c:v>24.835126074612401</c:v>
                </c:pt>
                <c:pt idx="97">
                  <c:v>48.196676926603502</c:v>
                </c:pt>
                <c:pt idx="98">
                  <c:v>27.0447640104464</c:v>
                </c:pt>
                <c:pt idx="99">
                  <c:v>26.9918772092472</c:v>
                </c:pt>
                <c:pt idx="100">
                  <c:v>20.620829398816799</c:v>
                </c:pt>
                <c:pt idx="101">
                  <c:v>18.005458360111898</c:v>
                </c:pt>
                <c:pt idx="102">
                  <c:v>23.519635201338399</c:v>
                </c:pt>
                <c:pt idx="103">
                  <c:v>28.000383830386799</c:v>
                </c:pt>
                <c:pt idx="104">
                  <c:v>23.1198811041323</c:v>
                </c:pt>
                <c:pt idx="105">
                  <c:v>20.4588904370605</c:v>
                </c:pt>
                <c:pt idx="106">
                  <c:v>32.412501691245303</c:v>
                </c:pt>
                <c:pt idx="107">
                  <c:v>18.3489411306394</c:v>
                </c:pt>
                <c:pt idx="108">
                  <c:v>13.5367155121614</c:v>
                </c:pt>
                <c:pt idx="109">
                  <c:v>32.723704193727301</c:v>
                </c:pt>
                <c:pt idx="110">
                  <c:v>21.851241770887999</c:v>
                </c:pt>
                <c:pt idx="111">
                  <c:v>27.575550011794601</c:v>
                </c:pt>
                <c:pt idx="112">
                  <c:v>34.882072409784598</c:v>
                </c:pt>
                <c:pt idx="113">
                  <c:v>13.4040482667471</c:v>
                </c:pt>
                <c:pt idx="114">
                  <c:v>15.4387514730362</c:v>
                </c:pt>
                <c:pt idx="115">
                  <c:v>29.0584020746204</c:v>
                </c:pt>
                <c:pt idx="116">
                  <c:v>17.3738568862214</c:v>
                </c:pt>
                <c:pt idx="117">
                  <c:v>18.698304093694102</c:v>
                </c:pt>
                <c:pt idx="118">
                  <c:v>25.257665614976801</c:v>
                </c:pt>
                <c:pt idx="119">
                  <c:v>14.603636072150801</c:v>
                </c:pt>
                <c:pt idx="120">
                  <c:v>17.448789312407399</c:v>
                </c:pt>
                <c:pt idx="121">
                  <c:v>37.937519737212398</c:v>
                </c:pt>
                <c:pt idx="122">
                  <c:v>17.974034991300201</c:v>
                </c:pt>
                <c:pt idx="123">
                  <c:v>17.729621601223499</c:v>
                </c:pt>
                <c:pt idx="124">
                  <c:v>16.488524384486499</c:v>
                </c:pt>
                <c:pt idx="125">
                  <c:v>39.132414256356597</c:v>
                </c:pt>
                <c:pt idx="126">
                  <c:v>18.584306317059699</c:v>
                </c:pt>
                <c:pt idx="127">
                  <c:v>22.486672944601899</c:v>
                </c:pt>
                <c:pt idx="128">
                  <c:v>25.4383152269438</c:v>
                </c:pt>
                <c:pt idx="129">
                  <c:v>51.620369759358603</c:v>
                </c:pt>
                <c:pt idx="130">
                  <c:v>37.397495396748702</c:v>
                </c:pt>
                <c:pt idx="131">
                  <c:v>28.1419266132832</c:v>
                </c:pt>
                <c:pt idx="132">
                  <c:v>27.1796022172853</c:v>
                </c:pt>
                <c:pt idx="133">
                  <c:v>18.692431365284399</c:v>
                </c:pt>
                <c:pt idx="134">
                  <c:v>19.1587566516287</c:v>
                </c:pt>
                <c:pt idx="135">
                  <c:v>13.5508962150648</c:v>
                </c:pt>
                <c:pt idx="136">
                  <c:v>22.605166210930399</c:v>
                </c:pt>
                <c:pt idx="137">
                  <c:v>50.886676331778901</c:v>
                </c:pt>
                <c:pt idx="138">
                  <c:v>64.015562496494695</c:v>
                </c:pt>
                <c:pt idx="139">
                  <c:v>54.696944079822302</c:v>
                </c:pt>
                <c:pt idx="140">
                  <c:v>23.4541192874056</c:v>
                </c:pt>
                <c:pt idx="141">
                  <c:v>15.768248026473399</c:v>
                </c:pt>
                <c:pt idx="142">
                  <c:v>19.518641145450701</c:v>
                </c:pt>
                <c:pt idx="143">
                  <c:v>29.181630318833999</c:v>
                </c:pt>
                <c:pt idx="144">
                  <c:v>70.376273317286504</c:v>
                </c:pt>
                <c:pt idx="145">
                  <c:v>22.0818969552837</c:v>
                </c:pt>
                <c:pt idx="146">
                  <c:v>40.052561448591199</c:v>
                </c:pt>
                <c:pt idx="147">
                  <c:v>27.501482169608501</c:v>
                </c:pt>
                <c:pt idx="148">
                  <c:v>28.9832454636691</c:v>
                </c:pt>
                <c:pt idx="149">
                  <c:v>32.196963410273298</c:v>
                </c:pt>
                <c:pt idx="150">
                  <c:v>25.8177309679504</c:v>
                </c:pt>
                <c:pt idx="151">
                  <c:v>15.7822608973624</c:v>
                </c:pt>
                <c:pt idx="152">
                  <c:v>30.2940090302736</c:v>
                </c:pt>
                <c:pt idx="153">
                  <c:v>21.796039180115098</c:v>
                </c:pt>
                <c:pt idx="154">
                  <c:v>18.665726425045399</c:v>
                </c:pt>
                <c:pt idx="155">
                  <c:v>117.680374563901</c:v>
                </c:pt>
                <c:pt idx="156">
                  <c:v>18.2452328736811</c:v>
                </c:pt>
                <c:pt idx="157">
                  <c:v>24.338095696730701</c:v>
                </c:pt>
                <c:pt idx="158">
                  <c:v>16.1468418637347</c:v>
                </c:pt>
                <c:pt idx="159">
                  <c:v>19.845758273838399</c:v>
                </c:pt>
                <c:pt idx="160">
                  <c:v>28.566311091143501</c:v>
                </c:pt>
                <c:pt idx="161">
                  <c:v>45.550836107487299</c:v>
                </c:pt>
                <c:pt idx="162">
                  <c:v>36.612092153779102</c:v>
                </c:pt>
                <c:pt idx="163">
                  <c:v>25.210643186814099</c:v>
                </c:pt>
                <c:pt idx="164">
                  <c:v>43.307695776865899</c:v>
                </c:pt>
                <c:pt idx="165">
                  <c:v>22.552307316956998</c:v>
                </c:pt>
                <c:pt idx="166">
                  <c:v>15.413615695871799</c:v>
                </c:pt>
                <c:pt idx="167">
                  <c:v>48.226720234360997</c:v>
                </c:pt>
                <c:pt idx="168">
                  <c:v>31.041521812370899</c:v>
                </c:pt>
                <c:pt idx="169">
                  <c:v>22.277217009498798</c:v>
                </c:pt>
                <c:pt idx="170">
                  <c:v>14.981108966789201</c:v>
                </c:pt>
                <c:pt idx="171">
                  <c:v>73.7273590214145</c:v>
                </c:pt>
                <c:pt idx="172">
                  <c:v>43.800332781297598</c:v>
                </c:pt>
                <c:pt idx="173">
                  <c:v>27.616158957994902</c:v>
                </c:pt>
                <c:pt idx="174">
                  <c:v>27.956599534807498</c:v>
                </c:pt>
                <c:pt idx="175">
                  <c:v>15.844136690646801</c:v>
                </c:pt>
                <c:pt idx="176">
                  <c:v>31.5310324746963</c:v>
                </c:pt>
                <c:pt idx="177">
                  <c:v>19.456473863025501</c:v>
                </c:pt>
                <c:pt idx="178">
                  <c:v>28.827665442256599</c:v>
                </c:pt>
                <c:pt idx="179">
                  <c:v>29.890505174475798</c:v>
                </c:pt>
                <c:pt idx="180">
                  <c:v>24.207859241326599</c:v>
                </c:pt>
                <c:pt idx="181">
                  <c:v>27.619359450101999</c:v>
                </c:pt>
                <c:pt idx="182">
                  <c:v>36.576347260819098</c:v>
                </c:pt>
                <c:pt idx="183">
                  <c:v>31.602566113269699</c:v>
                </c:pt>
                <c:pt idx="184">
                  <c:v>21.997977496595599</c:v>
                </c:pt>
                <c:pt idx="185">
                  <c:v>16.6429126076128</c:v>
                </c:pt>
                <c:pt idx="186">
                  <c:v>37.284333929866598</c:v>
                </c:pt>
                <c:pt idx="187">
                  <c:v>15.6785823512867</c:v>
                </c:pt>
                <c:pt idx="188">
                  <c:v>26.996817832609899</c:v>
                </c:pt>
                <c:pt idx="189">
                  <c:v>16.331984983889601</c:v>
                </c:pt>
                <c:pt idx="190">
                  <c:v>18.961609828843901</c:v>
                </c:pt>
                <c:pt idx="191">
                  <c:v>27.856172779848301</c:v>
                </c:pt>
                <c:pt idx="192">
                  <c:v>23.473931872333601</c:v>
                </c:pt>
                <c:pt idx="193">
                  <c:v>16.675809881160902</c:v>
                </c:pt>
                <c:pt idx="194">
                  <c:v>15.6456146428106</c:v>
                </c:pt>
                <c:pt idx="195">
                  <c:v>29.960773198575101</c:v>
                </c:pt>
                <c:pt idx="196">
                  <c:v>34.886827344838203</c:v>
                </c:pt>
                <c:pt idx="197">
                  <c:v>18.5241310258982</c:v>
                </c:pt>
                <c:pt idx="198">
                  <c:v>17.2503479442775</c:v>
                </c:pt>
                <c:pt idx="199">
                  <c:v>36.588754469375601</c:v>
                </c:pt>
                <c:pt idx="200">
                  <c:v>42.142218985611798</c:v>
                </c:pt>
                <c:pt idx="201">
                  <c:v>25.323551467907201</c:v>
                </c:pt>
                <c:pt idx="202">
                  <c:v>17.221943780582102</c:v>
                </c:pt>
                <c:pt idx="203">
                  <c:v>21.499551848851802</c:v>
                </c:pt>
                <c:pt idx="204">
                  <c:v>27.677111124499302</c:v>
                </c:pt>
                <c:pt idx="205">
                  <c:v>45.034731841407798</c:v>
                </c:pt>
                <c:pt idx="206">
                  <c:v>19.112745843631501</c:v>
                </c:pt>
                <c:pt idx="207">
                  <c:v>14.9657399019185</c:v>
                </c:pt>
                <c:pt idx="208">
                  <c:v>25.879194345625098</c:v>
                </c:pt>
                <c:pt idx="209">
                  <c:v>44.573234059030099</c:v>
                </c:pt>
                <c:pt idx="210">
                  <c:v>86.725824968680001</c:v>
                </c:pt>
                <c:pt idx="211">
                  <c:v>35.543739002936398</c:v>
                </c:pt>
                <c:pt idx="212">
                  <c:v>20.4833594670061</c:v>
                </c:pt>
                <c:pt idx="213">
                  <c:v>25.621666677115599</c:v>
                </c:pt>
                <c:pt idx="214">
                  <c:v>33.574331605037798</c:v>
                </c:pt>
                <c:pt idx="215">
                  <c:v>16.060895048345799</c:v>
                </c:pt>
                <c:pt idx="216">
                  <c:v>17.001306443055601</c:v>
                </c:pt>
                <c:pt idx="217">
                  <c:v>23.739175839916001</c:v>
                </c:pt>
                <c:pt idx="218">
                  <c:v>31.4276357911899</c:v>
                </c:pt>
                <c:pt idx="219">
                  <c:v>15.8323593133433</c:v>
                </c:pt>
                <c:pt idx="220">
                  <c:v>18.598749233878198</c:v>
                </c:pt>
                <c:pt idx="221">
                  <c:v>31.292909465109801</c:v>
                </c:pt>
                <c:pt idx="222">
                  <c:v>79.6026914229667</c:v>
                </c:pt>
                <c:pt idx="223">
                  <c:v>17.166113629327</c:v>
                </c:pt>
                <c:pt idx="224">
                  <c:v>27.7799216800077</c:v>
                </c:pt>
                <c:pt idx="225">
                  <c:v>19.7692802631923</c:v>
                </c:pt>
                <c:pt idx="226">
                  <c:v>19.839304764221598</c:v>
                </c:pt>
                <c:pt idx="227">
                  <c:v>23.8066513588882</c:v>
                </c:pt>
                <c:pt idx="228">
                  <c:v>16.361612405224101</c:v>
                </c:pt>
                <c:pt idx="229">
                  <c:v>23.465025509057298</c:v>
                </c:pt>
                <c:pt idx="230">
                  <c:v>23.745324402081799</c:v>
                </c:pt>
                <c:pt idx="231">
                  <c:v>24.9844635920225</c:v>
                </c:pt>
                <c:pt idx="232">
                  <c:v>13.3699721766374</c:v>
                </c:pt>
                <c:pt idx="233">
                  <c:v>27.775810881743801</c:v>
                </c:pt>
                <c:pt idx="234">
                  <c:v>21.464832008203899</c:v>
                </c:pt>
                <c:pt idx="235">
                  <c:v>37.5352112598312</c:v>
                </c:pt>
                <c:pt idx="236">
                  <c:v>40.474564893748003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0A-46C8-B901-9692931C7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065968"/>
        <c:axId val="1720067408"/>
      </c:scatterChart>
      <c:valAx>
        <c:axId val="1720065968"/>
        <c:scaling>
          <c:orientation val="minMax"/>
          <c:max val="2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067408"/>
        <c:crosses val="autoZero"/>
        <c:crossBetween val="midCat"/>
      </c:valAx>
      <c:valAx>
        <c:axId val="17200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06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5875">
                <a:solidFill>
                  <a:schemeClr val="accent1"/>
                </a:solidFill>
              </a:ln>
              <a:effectLst/>
            </c:spPr>
          </c:marker>
          <c:xVal>
            <c:numRef>
              <c:f>Blast238!$AM$40:$AM$276</c:f>
              <c:numCache>
                <c:formatCode>General</c:formatCode>
                <c:ptCount val="237"/>
                <c:pt idx="0">
                  <c:v>10.113715599999999</c:v>
                </c:pt>
                <c:pt idx="1">
                  <c:v>20.221043333333299</c:v>
                </c:pt>
                <c:pt idx="2">
                  <c:v>6.7445698666666996</c:v>
                </c:pt>
                <c:pt idx="3">
                  <c:v>5.7100133333300107E-2</c:v>
                </c:pt>
                <c:pt idx="4">
                  <c:v>3.3994933333333002</c:v>
                </c:pt>
                <c:pt idx="5">
                  <c:v>0.66428946666670008</c:v>
                </c:pt>
                <c:pt idx="6">
                  <c:v>3.8360959999999995</c:v>
                </c:pt>
                <c:pt idx="7">
                  <c:v>14.2309124666667</c:v>
                </c:pt>
                <c:pt idx="8">
                  <c:v>14.6734088666667</c:v>
                </c:pt>
                <c:pt idx="9">
                  <c:v>6.9101533333299159E-2</c:v>
                </c:pt>
                <c:pt idx="10">
                  <c:v>15.554736933333299</c:v>
                </c:pt>
                <c:pt idx="11">
                  <c:v>6.6666667031256566E-7</c:v>
                </c:pt>
                <c:pt idx="12">
                  <c:v>2.9463417333332984</c:v>
                </c:pt>
                <c:pt idx="13">
                  <c:v>1.5324061333332999</c:v>
                </c:pt>
                <c:pt idx="14">
                  <c:v>0.14468319999999935</c:v>
                </c:pt>
                <c:pt idx="15">
                  <c:v>4.0154569999999978</c:v>
                </c:pt>
                <c:pt idx="16">
                  <c:v>8.4614587333332985</c:v>
                </c:pt>
                <c:pt idx="17">
                  <c:v>6.6047399999998646E-2</c:v>
                </c:pt>
                <c:pt idx="18">
                  <c:v>1.8663600000000002E-2</c:v>
                </c:pt>
                <c:pt idx="19">
                  <c:v>1.4344274666667012</c:v>
                </c:pt>
                <c:pt idx="20">
                  <c:v>2.1926267999999993</c:v>
                </c:pt>
                <c:pt idx="21">
                  <c:v>18.741697600000002</c:v>
                </c:pt>
                <c:pt idx="22">
                  <c:v>5.4522221333332972</c:v>
                </c:pt>
                <c:pt idx="23">
                  <c:v>0.11722866666670129</c:v>
                </c:pt>
                <c:pt idx="24">
                  <c:v>2.1315032000000009</c:v>
                </c:pt>
                <c:pt idx="25">
                  <c:v>12.598519199999998</c:v>
                </c:pt>
                <c:pt idx="26">
                  <c:v>6.8843600000001004E-2</c:v>
                </c:pt>
                <c:pt idx="27">
                  <c:v>5.1025275999999984</c:v>
                </c:pt>
                <c:pt idx="28">
                  <c:v>0.63011859999999942</c:v>
                </c:pt>
                <c:pt idx="29">
                  <c:v>1.6493133333300491E-2</c:v>
                </c:pt>
                <c:pt idx="30">
                  <c:v>13.285797333333301</c:v>
                </c:pt>
                <c:pt idx="31">
                  <c:v>8.0725684666666986</c:v>
                </c:pt>
                <c:pt idx="32">
                  <c:v>8.5206000000006554E-3</c:v>
                </c:pt>
                <c:pt idx="33">
                  <c:v>3.3190799999999854E-2</c:v>
                </c:pt>
                <c:pt idx="34">
                  <c:v>5.1548232000000027</c:v>
                </c:pt>
                <c:pt idx="35">
                  <c:v>8.5366700666666979</c:v>
                </c:pt>
                <c:pt idx="36">
                  <c:v>6.5549799999999436E-2</c:v>
                </c:pt>
                <c:pt idx="37">
                  <c:v>6.4296681333333012</c:v>
                </c:pt>
                <c:pt idx="38">
                  <c:v>3.5529328000000007</c:v>
                </c:pt>
                <c:pt idx="39">
                  <c:v>4.2494674666666974</c:v>
                </c:pt>
                <c:pt idx="40">
                  <c:v>6.048033333329883E-2</c:v>
                </c:pt>
                <c:pt idx="41">
                  <c:v>6.1477001333332986</c:v>
                </c:pt>
                <c:pt idx="42">
                  <c:v>3.0456710000000005</c:v>
                </c:pt>
                <c:pt idx="43">
                  <c:v>1.1377774666665985</c:v>
                </c:pt>
                <c:pt idx="44">
                  <c:v>12.299435599999999</c:v>
                </c:pt>
                <c:pt idx="45">
                  <c:v>7.6378599999999963E-2</c:v>
                </c:pt>
                <c:pt idx="46">
                  <c:v>7.2548090666666987</c:v>
                </c:pt>
                <c:pt idx="47">
                  <c:v>4.0112933333299239E-2</c:v>
                </c:pt>
                <c:pt idx="48">
                  <c:v>20.402537866666702</c:v>
                </c:pt>
                <c:pt idx="49">
                  <c:v>0.13265673333330064</c:v>
                </c:pt>
                <c:pt idx="50">
                  <c:v>3.0861200000000366E-2</c:v>
                </c:pt>
                <c:pt idx="51">
                  <c:v>11.727142333333298</c:v>
                </c:pt>
                <c:pt idx="52">
                  <c:v>6.8239399999999506E-2</c:v>
                </c:pt>
                <c:pt idx="53">
                  <c:v>0.81478033333329947</c:v>
                </c:pt>
                <c:pt idx="54">
                  <c:v>16.9029110666667</c:v>
                </c:pt>
                <c:pt idx="55">
                  <c:v>9.6010910666667009</c:v>
                </c:pt>
                <c:pt idx="56">
                  <c:v>8.2385801333333006</c:v>
                </c:pt>
                <c:pt idx="57">
                  <c:v>8.8645285333333028</c:v>
                </c:pt>
                <c:pt idx="58">
                  <c:v>8.6731334000000011</c:v>
                </c:pt>
                <c:pt idx="59">
                  <c:v>15.479865</c:v>
                </c:pt>
                <c:pt idx="60">
                  <c:v>14.7924423333333</c:v>
                </c:pt>
                <c:pt idx="61">
                  <c:v>0.18755546666670142</c:v>
                </c:pt>
                <c:pt idx="62">
                  <c:v>0.17421746666670046</c:v>
                </c:pt>
                <c:pt idx="63">
                  <c:v>5.6043543333333012</c:v>
                </c:pt>
                <c:pt idx="64">
                  <c:v>2.7595699333332995</c:v>
                </c:pt>
                <c:pt idx="65">
                  <c:v>13.6758785333333</c:v>
                </c:pt>
                <c:pt idx="66">
                  <c:v>3.5796910666666975</c:v>
                </c:pt>
                <c:pt idx="67">
                  <c:v>0.17104353333330025</c:v>
                </c:pt>
                <c:pt idx="68">
                  <c:v>7.4512303333333012</c:v>
                </c:pt>
                <c:pt idx="69">
                  <c:v>3.17744759999999</c:v>
                </c:pt>
                <c:pt idx="70">
                  <c:v>12.896833600000001</c:v>
                </c:pt>
                <c:pt idx="71">
                  <c:v>1.9776333333300755E-2</c:v>
                </c:pt>
                <c:pt idx="72">
                  <c:v>9.1861777999999994</c:v>
                </c:pt>
                <c:pt idx="73">
                  <c:v>7.8629119333332991</c:v>
                </c:pt>
                <c:pt idx="74">
                  <c:v>1.6089884666667018</c:v>
                </c:pt>
                <c:pt idx="75">
                  <c:v>10.165179200000001</c:v>
                </c:pt>
                <c:pt idx="76">
                  <c:v>2.0367333333020099E-3</c:v>
                </c:pt>
                <c:pt idx="77">
                  <c:v>5.0767220666667008</c:v>
                </c:pt>
                <c:pt idx="78">
                  <c:v>2.1107533333299955E-2</c:v>
                </c:pt>
                <c:pt idx="79">
                  <c:v>2.8545342666667004</c:v>
                </c:pt>
                <c:pt idx="80">
                  <c:v>1.6462265333333015</c:v>
                </c:pt>
                <c:pt idx="81">
                  <c:v>5.9380756666667001</c:v>
                </c:pt>
                <c:pt idx="82">
                  <c:v>3.4832782000000009</c:v>
                </c:pt>
                <c:pt idx="83">
                  <c:v>0.13990493333329823</c:v>
                </c:pt>
                <c:pt idx="84">
                  <c:v>1.8818666666700068E-2</c:v>
                </c:pt>
                <c:pt idx="85">
                  <c:v>8.4041367333332992</c:v>
                </c:pt>
                <c:pt idx="86">
                  <c:v>7.723646666670092E-2</c:v>
                </c:pt>
                <c:pt idx="87">
                  <c:v>0.1637147999998998</c:v>
                </c:pt>
                <c:pt idx="88">
                  <c:v>13.797912866666701</c:v>
                </c:pt>
                <c:pt idx="89">
                  <c:v>1.758275933333298</c:v>
                </c:pt>
                <c:pt idx="90">
                  <c:v>0.13125486666670128</c:v>
                </c:pt>
                <c:pt idx="91">
                  <c:v>13.492780266666701</c:v>
                </c:pt>
                <c:pt idx="92">
                  <c:v>5.3680266666701115E-2</c:v>
                </c:pt>
                <c:pt idx="93">
                  <c:v>2.9095133333299827E-2</c:v>
                </c:pt>
                <c:pt idx="94">
                  <c:v>3.0476062666666976</c:v>
                </c:pt>
                <c:pt idx="95">
                  <c:v>8.7992657333332982</c:v>
                </c:pt>
                <c:pt idx="96">
                  <c:v>3.5788642000000017</c:v>
                </c:pt>
                <c:pt idx="97">
                  <c:v>4.1741266666800669E-2</c:v>
                </c:pt>
                <c:pt idx="98">
                  <c:v>12.898981133333301</c:v>
                </c:pt>
                <c:pt idx="99">
                  <c:v>0.15303760000000111</c:v>
                </c:pt>
                <c:pt idx="100">
                  <c:v>14.8145402666667</c:v>
                </c:pt>
                <c:pt idx="101">
                  <c:v>12.7413798666667</c:v>
                </c:pt>
                <c:pt idx="102">
                  <c:v>7.3964733333298227E-2</c:v>
                </c:pt>
                <c:pt idx="103">
                  <c:v>2.1281590666667007</c:v>
                </c:pt>
                <c:pt idx="104">
                  <c:v>7.2720036666666985</c:v>
                </c:pt>
                <c:pt idx="105">
                  <c:v>4.4592745333332999</c:v>
                </c:pt>
                <c:pt idx="106">
                  <c:v>6.5965318000000011</c:v>
                </c:pt>
                <c:pt idx="107">
                  <c:v>0.90117419999999981</c:v>
                </c:pt>
                <c:pt idx="108">
                  <c:v>8.0423795333332997</c:v>
                </c:pt>
                <c:pt idx="109">
                  <c:v>3.7320199999999915E-2</c:v>
                </c:pt>
                <c:pt idx="110">
                  <c:v>9.4068779333333019</c:v>
                </c:pt>
                <c:pt idx="111">
                  <c:v>4.2235910666666996</c:v>
                </c:pt>
                <c:pt idx="112">
                  <c:v>3.2757199999998932E-2</c:v>
                </c:pt>
                <c:pt idx="113">
                  <c:v>3.0220273333333001</c:v>
                </c:pt>
                <c:pt idx="114">
                  <c:v>12.014881733333299</c:v>
                </c:pt>
                <c:pt idx="115">
                  <c:v>3.0893866666698244E-2</c:v>
                </c:pt>
                <c:pt idx="116">
                  <c:v>9.0272469333333003</c:v>
                </c:pt>
                <c:pt idx="117">
                  <c:v>3.5067333333300255E-2</c:v>
                </c:pt>
                <c:pt idx="118">
                  <c:v>2.7211866666668527E-2</c:v>
                </c:pt>
                <c:pt idx="119">
                  <c:v>15.533229333333299</c:v>
                </c:pt>
                <c:pt idx="120">
                  <c:v>15.8396782666667</c:v>
                </c:pt>
                <c:pt idx="121">
                  <c:v>1.1593449999999983</c:v>
                </c:pt>
                <c:pt idx="122">
                  <c:v>6.3251606000000002</c:v>
                </c:pt>
                <c:pt idx="123">
                  <c:v>8.2783064666666988</c:v>
                </c:pt>
                <c:pt idx="124">
                  <c:v>7.1824199999998228E-2</c:v>
                </c:pt>
                <c:pt idx="125">
                  <c:v>8.9138533333198211E-2</c:v>
                </c:pt>
                <c:pt idx="126">
                  <c:v>4.6730189333332</c:v>
                </c:pt>
                <c:pt idx="127">
                  <c:v>4.3577820000000003</c:v>
                </c:pt>
                <c:pt idx="128">
                  <c:v>7.4889333332990304E-3</c:v>
                </c:pt>
                <c:pt idx="129">
                  <c:v>2.5448866666700098E-2</c:v>
                </c:pt>
                <c:pt idx="130">
                  <c:v>0.14359073333329775</c:v>
                </c:pt>
                <c:pt idx="131">
                  <c:v>2.1402952666667012</c:v>
                </c:pt>
                <c:pt idx="132">
                  <c:v>1.4088799999999679E-2</c:v>
                </c:pt>
                <c:pt idx="133">
                  <c:v>6.9302376666667023</c:v>
                </c:pt>
                <c:pt idx="134">
                  <c:v>4.0667402666666694</c:v>
                </c:pt>
                <c:pt idx="135">
                  <c:v>0.11065886666670011</c:v>
                </c:pt>
                <c:pt idx="136">
                  <c:v>3.7227545333332994</c:v>
                </c:pt>
                <c:pt idx="137">
                  <c:v>0.13722886666669964</c:v>
                </c:pt>
                <c:pt idx="138">
                  <c:v>3.0761826000000028</c:v>
                </c:pt>
                <c:pt idx="139">
                  <c:v>0.14195239999999743</c:v>
                </c:pt>
                <c:pt idx="140">
                  <c:v>4.6766012666666974</c:v>
                </c:pt>
                <c:pt idx="141">
                  <c:v>6.1047797333333005</c:v>
                </c:pt>
                <c:pt idx="142">
                  <c:v>0.42636586666669984</c:v>
                </c:pt>
                <c:pt idx="143">
                  <c:v>2.8952097333332993</c:v>
                </c:pt>
                <c:pt idx="144">
                  <c:v>2.3054502666666998</c:v>
                </c:pt>
                <c:pt idx="145">
                  <c:v>9.6493912000000019</c:v>
                </c:pt>
                <c:pt idx="146">
                  <c:v>2.2587780666667001</c:v>
                </c:pt>
                <c:pt idx="147">
                  <c:v>0.11174853333330148</c:v>
                </c:pt>
                <c:pt idx="148">
                  <c:v>3.4570233333333</c:v>
                </c:pt>
                <c:pt idx="149">
                  <c:v>3.1315309333332983</c:v>
                </c:pt>
                <c:pt idx="150">
                  <c:v>10.0775207333333</c:v>
                </c:pt>
                <c:pt idx="151">
                  <c:v>0.4961990666665983</c:v>
                </c:pt>
                <c:pt idx="152">
                  <c:v>0.60300780000000032</c:v>
                </c:pt>
                <c:pt idx="153">
                  <c:v>19.954731600000002</c:v>
                </c:pt>
                <c:pt idx="154">
                  <c:v>2.0842932000000012</c:v>
                </c:pt>
                <c:pt idx="155">
                  <c:v>4.4042666667003516E-3</c:v>
                </c:pt>
                <c:pt idx="156">
                  <c:v>2.636406666669977E-2</c:v>
                </c:pt>
                <c:pt idx="157">
                  <c:v>13.196454333333303</c:v>
                </c:pt>
                <c:pt idx="158">
                  <c:v>5.4996400000000278E-2</c:v>
                </c:pt>
                <c:pt idx="159">
                  <c:v>13.081062866666702</c:v>
                </c:pt>
                <c:pt idx="160">
                  <c:v>2.246946666670091E-2</c:v>
                </c:pt>
                <c:pt idx="161">
                  <c:v>5.2276435999999968</c:v>
                </c:pt>
                <c:pt idx="162">
                  <c:v>5.3325733333300818E-2</c:v>
                </c:pt>
                <c:pt idx="163">
                  <c:v>2.2167919999999999</c:v>
                </c:pt>
                <c:pt idx="164">
                  <c:v>2.2425857333332999</c:v>
                </c:pt>
                <c:pt idx="165">
                  <c:v>4.0504081999999997</c:v>
                </c:pt>
                <c:pt idx="166">
                  <c:v>13.257214533333299</c:v>
                </c:pt>
                <c:pt idx="167">
                  <c:v>7.6313066666699569E-2</c:v>
                </c:pt>
                <c:pt idx="168">
                  <c:v>1.5354965333333013</c:v>
                </c:pt>
                <c:pt idx="169">
                  <c:v>7.3598487999999982</c:v>
                </c:pt>
                <c:pt idx="170">
                  <c:v>14.502645733333301</c:v>
                </c:pt>
                <c:pt idx="171">
                  <c:v>2.8317799999999949E-2</c:v>
                </c:pt>
                <c:pt idx="172">
                  <c:v>8.2335666666701002E-2</c:v>
                </c:pt>
                <c:pt idx="173">
                  <c:v>0.43999633333330124</c:v>
                </c:pt>
                <c:pt idx="174">
                  <c:v>3.4968384000000015</c:v>
                </c:pt>
                <c:pt idx="175">
                  <c:v>9.7122198666667003</c:v>
                </c:pt>
                <c:pt idx="176">
                  <c:v>11.507570400000002</c:v>
                </c:pt>
                <c:pt idx="177">
                  <c:v>4.7237505999999989</c:v>
                </c:pt>
                <c:pt idx="178">
                  <c:v>8.3785402666667004</c:v>
                </c:pt>
                <c:pt idx="179">
                  <c:v>8.093466666696969E-3</c:v>
                </c:pt>
                <c:pt idx="180">
                  <c:v>0.8971280666666992</c:v>
                </c:pt>
                <c:pt idx="181">
                  <c:v>2.242159999999771E-2</c:v>
                </c:pt>
                <c:pt idx="182">
                  <c:v>0.80499520000000047</c:v>
                </c:pt>
                <c:pt idx="183">
                  <c:v>1.6531133333298698E-2</c:v>
                </c:pt>
                <c:pt idx="184">
                  <c:v>8.012656800000002</c:v>
                </c:pt>
                <c:pt idx="185">
                  <c:v>0.8244418666666995</c:v>
                </c:pt>
                <c:pt idx="186">
                  <c:v>3.1871332666666987</c:v>
                </c:pt>
                <c:pt idx="187">
                  <c:v>9.3561402666666993</c:v>
                </c:pt>
                <c:pt idx="188">
                  <c:v>14.180864933333201</c:v>
                </c:pt>
                <c:pt idx="189">
                  <c:v>6.7118278666666988</c:v>
                </c:pt>
                <c:pt idx="190">
                  <c:v>2.1835728000000003</c:v>
                </c:pt>
                <c:pt idx="191">
                  <c:v>5.6979533333301191E-2</c:v>
                </c:pt>
                <c:pt idx="192">
                  <c:v>5.0821897333333013</c:v>
                </c:pt>
                <c:pt idx="193">
                  <c:v>0.27387680000000003</c:v>
                </c:pt>
                <c:pt idx="194">
                  <c:v>4.6228311333332996</c:v>
                </c:pt>
                <c:pt idx="195">
                  <c:v>2.8585197333332992</c:v>
                </c:pt>
                <c:pt idx="196">
                  <c:v>9.4152393333333002</c:v>
                </c:pt>
                <c:pt idx="197">
                  <c:v>8.4242197333332989</c:v>
                </c:pt>
                <c:pt idx="198">
                  <c:v>19.935323199999999</c:v>
                </c:pt>
                <c:pt idx="199">
                  <c:v>13.5077172</c:v>
                </c:pt>
                <c:pt idx="200">
                  <c:v>2.4402933333298904E-2</c:v>
                </c:pt>
                <c:pt idx="201">
                  <c:v>0.12031559999999963</c:v>
                </c:pt>
                <c:pt idx="202">
                  <c:v>11.686902866666699</c:v>
                </c:pt>
                <c:pt idx="203">
                  <c:v>13.647047733333302</c:v>
                </c:pt>
                <c:pt idx="204">
                  <c:v>4.3583466666699877E-2</c:v>
                </c:pt>
                <c:pt idx="205">
                  <c:v>3.7338711333332988</c:v>
                </c:pt>
                <c:pt idx="206">
                  <c:v>11.6518719333333</c:v>
                </c:pt>
                <c:pt idx="207">
                  <c:v>0.16415273333329949</c:v>
                </c:pt>
                <c:pt idx="208">
                  <c:v>5.8126575999999996</c:v>
                </c:pt>
                <c:pt idx="209">
                  <c:v>9.3055427333332972</c:v>
                </c:pt>
                <c:pt idx="210">
                  <c:v>8.1968599999999725E-2</c:v>
                </c:pt>
                <c:pt idx="211">
                  <c:v>0.4619100666667002</c:v>
                </c:pt>
                <c:pt idx="212">
                  <c:v>12.644801133333299</c:v>
                </c:pt>
                <c:pt idx="213">
                  <c:v>3.725446666669896E-2</c:v>
                </c:pt>
                <c:pt idx="214">
                  <c:v>1.2167533333297342E-2</c:v>
                </c:pt>
                <c:pt idx="215">
                  <c:v>8.4274005999999986</c:v>
                </c:pt>
                <c:pt idx="216">
                  <c:v>8.062957466666699</c:v>
                </c:pt>
                <c:pt idx="217">
                  <c:v>2.1535463999999997</c:v>
                </c:pt>
                <c:pt idx="218">
                  <c:v>6.8849166000000004</c:v>
                </c:pt>
                <c:pt idx="219">
                  <c:v>10.800543466666698</c:v>
                </c:pt>
                <c:pt idx="220">
                  <c:v>0.11987786666670175</c:v>
                </c:pt>
                <c:pt idx="221">
                  <c:v>1.0517027333333004</c:v>
                </c:pt>
                <c:pt idx="222">
                  <c:v>3.7728600000001222E-2</c:v>
                </c:pt>
                <c:pt idx="223">
                  <c:v>13.166286266666699</c:v>
                </c:pt>
                <c:pt idx="224">
                  <c:v>8.3550849333333019</c:v>
                </c:pt>
                <c:pt idx="225">
                  <c:v>9.0391375999999983</c:v>
                </c:pt>
                <c:pt idx="226">
                  <c:v>5.9890350000000012</c:v>
                </c:pt>
                <c:pt idx="227">
                  <c:v>8.581439266666699</c:v>
                </c:pt>
                <c:pt idx="228">
                  <c:v>3.2320006666666998</c:v>
                </c:pt>
                <c:pt idx="229">
                  <c:v>13.516679866666699</c:v>
                </c:pt>
                <c:pt idx="230">
                  <c:v>6.6562379333333013</c:v>
                </c:pt>
                <c:pt idx="231">
                  <c:v>5.1369429333333017</c:v>
                </c:pt>
                <c:pt idx="232">
                  <c:v>2.4655133333300938E-2</c:v>
                </c:pt>
                <c:pt idx="233">
                  <c:v>0.10117593333330177</c:v>
                </c:pt>
                <c:pt idx="234">
                  <c:v>8.7892516666666971</c:v>
                </c:pt>
                <c:pt idx="235">
                  <c:v>3.8598066666700959E-2</c:v>
                </c:pt>
                <c:pt idx="236">
                  <c:v>1.7269812000000009</c:v>
                </c:pt>
              </c:numCache>
            </c:numRef>
          </c:xVal>
          <c:yVal>
            <c:numRef>
              <c:f>Blast238!$AO$40:$AO$276</c:f>
              <c:numCache>
                <c:formatCode>General</c:formatCode>
                <c:ptCount val="237"/>
                <c:pt idx="0">
                  <c:v>5.3</c:v>
                </c:pt>
                <c:pt idx="1">
                  <c:v>3.5</c:v>
                </c:pt>
                <c:pt idx="2">
                  <c:v>6.3058823529411701</c:v>
                </c:pt>
                <c:pt idx="3">
                  <c:v>66.3</c:v>
                </c:pt>
                <c:pt idx="4">
                  <c:v>0.105</c:v>
                </c:pt>
                <c:pt idx="5">
                  <c:v>20.4375</c:v>
                </c:pt>
                <c:pt idx="6">
                  <c:v>6.1874999999999999E-2</c:v>
                </c:pt>
                <c:pt idx="7">
                  <c:v>5.7473684210526299</c:v>
                </c:pt>
                <c:pt idx="8">
                  <c:v>21.176470588235201</c:v>
                </c:pt>
                <c:pt idx="9">
                  <c:v>0.38333333333333303</c:v>
                </c:pt>
                <c:pt idx="10">
                  <c:v>7.1428571428571397E-2</c:v>
                </c:pt>
                <c:pt idx="11">
                  <c:v>0.70769230769230695</c:v>
                </c:pt>
                <c:pt idx="12">
                  <c:v>8.1120000000000001</c:v>
                </c:pt>
                <c:pt idx="13">
                  <c:v>0.73749999999999905</c:v>
                </c:pt>
                <c:pt idx="14">
                  <c:v>4.4000000000000004</c:v>
                </c:pt>
                <c:pt idx="15">
                  <c:v>0.72916666666666596</c:v>
                </c:pt>
                <c:pt idx="16">
                  <c:v>15.3947368421052</c:v>
                </c:pt>
                <c:pt idx="17">
                  <c:v>35.485714285714202</c:v>
                </c:pt>
                <c:pt idx="18">
                  <c:v>15.75</c:v>
                </c:pt>
                <c:pt idx="19">
                  <c:v>2.5714285714285698</c:v>
                </c:pt>
                <c:pt idx="20">
                  <c:v>13.375</c:v>
                </c:pt>
                <c:pt idx="21">
                  <c:v>4.89230769230769</c:v>
                </c:pt>
                <c:pt idx="22">
                  <c:v>5.78666666666666</c:v>
                </c:pt>
                <c:pt idx="23">
                  <c:v>29.113636363636299</c:v>
                </c:pt>
                <c:pt idx="24">
                  <c:v>3.58333333333333E-2</c:v>
                </c:pt>
                <c:pt idx="25">
                  <c:v>4.1647058823529397</c:v>
                </c:pt>
                <c:pt idx="26">
                  <c:v>9.1692307692307597</c:v>
                </c:pt>
                <c:pt idx="27">
                  <c:v>9.0999999999999998E-2</c:v>
                </c:pt>
                <c:pt idx="28">
                  <c:v>6.3076923076923004</c:v>
                </c:pt>
                <c:pt idx="29">
                  <c:v>30.074999999999999</c:v>
                </c:pt>
                <c:pt idx="30">
                  <c:v>0.83076923076923004</c:v>
                </c:pt>
                <c:pt idx="31">
                  <c:v>4.7428571428571402</c:v>
                </c:pt>
                <c:pt idx="32">
                  <c:v>22.921875</c:v>
                </c:pt>
                <c:pt idx="33">
                  <c:v>16.03125</c:v>
                </c:pt>
                <c:pt idx="34">
                  <c:v>7</c:v>
                </c:pt>
                <c:pt idx="35">
                  <c:v>5.9818181818181797</c:v>
                </c:pt>
                <c:pt idx="36">
                  <c:v>14.90625</c:v>
                </c:pt>
                <c:pt idx="37">
                  <c:v>20.352272727272702</c:v>
                </c:pt>
                <c:pt idx="38">
                  <c:v>20.875</c:v>
                </c:pt>
                <c:pt idx="39">
                  <c:v>15.1323529411764</c:v>
                </c:pt>
                <c:pt idx="40">
                  <c:v>32.318181818181799</c:v>
                </c:pt>
                <c:pt idx="41">
                  <c:v>20.196428571428498</c:v>
                </c:pt>
                <c:pt idx="42">
                  <c:v>11.964285714285699</c:v>
                </c:pt>
                <c:pt idx="43">
                  <c:v>4.6153846153846096</c:v>
                </c:pt>
                <c:pt idx="44">
                  <c:v>5.5047619047619003</c:v>
                </c:pt>
                <c:pt idx="45">
                  <c:v>4.1894736842105198</c:v>
                </c:pt>
                <c:pt idx="46">
                  <c:v>6.85</c:v>
                </c:pt>
                <c:pt idx="47">
                  <c:v>42.042857142857102</c:v>
                </c:pt>
                <c:pt idx="48">
                  <c:v>5.42307692307692E-2</c:v>
                </c:pt>
                <c:pt idx="49">
                  <c:v>56.1</c:v>
                </c:pt>
                <c:pt idx="50">
                  <c:v>27.975000000000001</c:v>
                </c:pt>
                <c:pt idx="51">
                  <c:v>7.5750000000000002</c:v>
                </c:pt>
                <c:pt idx="52">
                  <c:v>28.35</c:v>
                </c:pt>
                <c:pt idx="53">
                  <c:v>15.75</c:v>
                </c:pt>
                <c:pt idx="54">
                  <c:v>0.55000000000000004</c:v>
                </c:pt>
                <c:pt idx="55">
                  <c:v>2.7111111111111099</c:v>
                </c:pt>
                <c:pt idx="56">
                  <c:v>5.1619047619047604</c:v>
                </c:pt>
                <c:pt idx="57">
                  <c:v>6.48</c:v>
                </c:pt>
                <c:pt idx="58">
                  <c:v>5.2</c:v>
                </c:pt>
                <c:pt idx="59">
                  <c:v>14.75</c:v>
                </c:pt>
                <c:pt idx="60">
                  <c:v>1.425</c:v>
                </c:pt>
                <c:pt idx="61">
                  <c:v>24.3</c:v>
                </c:pt>
                <c:pt idx="62">
                  <c:v>23.4</c:v>
                </c:pt>
                <c:pt idx="63">
                  <c:v>4.1760000000000002</c:v>
                </c:pt>
                <c:pt idx="64">
                  <c:v>22.397727272727199</c:v>
                </c:pt>
                <c:pt idx="65">
                  <c:v>1.90625E-2</c:v>
                </c:pt>
                <c:pt idx="66">
                  <c:v>12.3375</c:v>
                </c:pt>
                <c:pt idx="67">
                  <c:v>18.84375</c:v>
                </c:pt>
                <c:pt idx="68">
                  <c:v>12.0535714285714</c:v>
                </c:pt>
                <c:pt idx="69">
                  <c:v>0.85</c:v>
                </c:pt>
                <c:pt idx="70">
                  <c:v>4.6749999999999998</c:v>
                </c:pt>
                <c:pt idx="71">
                  <c:v>7.25714285714285</c:v>
                </c:pt>
                <c:pt idx="72">
                  <c:v>4.9749999999999996</c:v>
                </c:pt>
                <c:pt idx="73">
                  <c:v>15.6666666666666</c:v>
                </c:pt>
                <c:pt idx="74">
                  <c:v>7.6421052631578901</c:v>
                </c:pt>
                <c:pt idx="75">
                  <c:v>4.5333333333333297</c:v>
                </c:pt>
                <c:pt idx="76">
                  <c:v>12.3529411764705</c:v>
                </c:pt>
                <c:pt idx="77">
                  <c:v>5.2</c:v>
                </c:pt>
                <c:pt idx="78">
                  <c:v>15.375</c:v>
                </c:pt>
                <c:pt idx="79">
                  <c:v>5.92</c:v>
                </c:pt>
                <c:pt idx="80">
                  <c:v>2.6545454545454499</c:v>
                </c:pt>
                <c:pt idx="81">
                  <c:v>49.575000000000003</c:v>
                </c:pt>
                <c:pt idx="82">
                  <c:v>25.45</c:v>
                </c:pt>
                <c:pt idx="83">
                  <c:v>31.875</c:v>
                </c:pt>
                <c:pt idx="84">
                  <c:v>27.385714285714201</c:v>
                </c:pt>
                <c:pt idx="85">
                  <c:v>0.92727272727272703</c:v>
                </c:pt>
                <c:pt idx="86">
                  <c:v>5.6666666666666599</c:v>
                </c:pt>
                <c:pt idx="87">
                  <c:v>8.5000000000000006E-2</c:v>
                </c:pt>
                <c:pt idx="88">
                  <c:v>5.1529411764705797</c:v>
                </c:pt>
                <c:pt idx="89">
                  <c:v>5.9466666666666601</c:v>
                </c:pt>
                <c:pt idx="90">
                  <c:v>22.875</c:v>
                </c:pt>
                <c:pt idx="91">
                  <c:v>4.68181818181818E-2</c:v>
                </c:pt>
                <c:pt idx="92">
                  <c:v>17.466666666666601</c:v>
                </c:pt>
                <c:pt idx="93">
                  <c:v>25.087499999999999</c:v>
                </c:pt>
                <c:pt idx="94">
                  <c:v>5.2</c:v>
                </c:pt>
                <c:pt idx="95">
                  <c:v>11.390625</c:v>
                </c:pt>
                <c:pt idx="96">
                  <c:v>3.5047619047618999</c:v>
                </c:pt>
                <c:pt idx="97">
                  <c:v>54.830769230769199</c:v>
                </c:pt>
                <c:pt idx="98">
                  <c:v>15.9375</c:v>
                </c:pt>
                <c:pt idx="99">
                  <c:v>16.149999999999999</c:v>
                </c:pt>
                <c:pt idx="100">
                  <c:v>8.5538461538461501</c:v>
                </c:pt>
                <c:pt idx="101">
                  <c:v>6.7500000000000004E-2</c:v>
                </c:pt>
                <c:pt idx="102">
                  <c:v>6.0533333333333301</c:v>
                </c:pt>
                <c:pt idx="103">
                  <c:v>2.5920000000000001</c:v>
                </c:pt>
                <c:pt idx="104">
                  <c:v>7.2857142857142803</c:v>
                </c:pt>
                <c:pt idx="105">
                  <c:v>6.08</c:v>
                </c:pt>
                <c:pt idx="106">
                  <c:v>18.611999999999998</c:v>
                </c:pt>
                <c:pt idx="107">
                  <c:v>3.28</c:v>
                </c:pt>
                <c:pt idx="108">
                  <c:v>6.6000000000000003E-2</c:v>
                </c:pt>
                <c:pt idx="109">
                  <c:v>19.96875</c:v>
                </c:pt>
                <c:pt idx="110">
                  <c:v>7.4769230769230699</c:v>
                </c:pt>
                <c:pt idx="111">
                  <c:v>16.087499999999999</c:v>
                </c:pt>
                <c:pt idx="112">
                  <c:v>19.462499999999999</c:v>
                </c:pt>
                <c:pt idx="113">
                  <c:v>7.1666666666666601E-2</c:v>
                </c:pt>
                <c:pt idx="114">
                  <c:v>6.9000000000000006E-2</c:v>
                </c:pt>
                <c:pt idx="115">
                  <c:v>41.85</c:v>
                </c:pt>
                <c:pt idx="116">
                  <c:v>1.2</c:v>
                </c:pt>
                <c:pt idx="117">
                  <c:v>19.2</c:v>
                </c:pt>
                <c:pt idx="118">
                  <c:v>28.274999999999999</c:v>
                </c:pt>
                <c:pt idx="119">
                  <c:v>8.6545454545454508</c:v>
                </c:pt>
                <c:pt idx="120">
                  <c:v>12.375</c:v>
                </c:pt>
                <c:pt idx="121">
                  <c:v>11.13</c:v>
                </c:pt>
                <c:pt idx="122">
                  <c:v>4.9749999999999996</c:v>
                </c:pt>
                <c:pt idx="123">
                  <c:v>2.77142857142857</c:v>
                </c:pt>
                <c:pt idx="124">
                  <c:v>0.9</c:v>
                </c:pt>
                <c:pt idx="125">
                  <c:v>17.512499999999999</c:v>
                </c:pt>
                <c:pt idx="126">
                  <c:v>11.85</c:v>
                </c:pt>
                <c:pt idx="127">
                  <c:v>6.6133333333333297</c:v>
                </c:pt>
                <c:pt idx="128">
                  <c:v>17.035714285714199</c:v>
                </c:pt>
                <c:pt idx="129">
                  <c:v>22.466666666666601</c:v>
                </c:pt>
                <c:pt idx="130">
                  <c:v>20.1428571428571</c:v>
                </c:pt>
                <c:pt idx="131">
                  <c:v>16.21875</c:v>
                </c:pt>
                <c:pt idx="132">
                  <c:v>12.5142857142857</c:v>
                </c:pt>
                <c:pt idx="133">
                  <c:v>7.76</c:v>
                </c:pt>
                <c:pt idx="134">
                  <c:v>13.3846153846153</c:v>
                </c:pt>
                <c:pt idx="135">
                  <c:v>0.81499999999999995</c:v>
                </c:pt>
                <c:pt idx="136">
                  <c:v>2.4235294117646999</c:v>
                </c:pt>
                <c:pt idx="137">
                  <c:v>57.985714285714202</c:v>
                </c:pt>
                <c:pt idx="138">
                  <c:v>42.39</c:v>
                </c:pt>
                <c:pt idx="139">
                  <c:v>43.56</c:v>
                </c:pt>
                <c:pt idx="140">
                  <c:v>3.5333333333333301</c:v>
                </c:pt>
                <c:pt idx="141">
                  <c:v>7.7777777777777696E-2</c:v>
                </c:pt>
                <c:pt idx="142">
                  <c:v>4.54285714285714</c:v>
                </c:pt>
                <c:pt idx="143">
                  <c:v>16.171875</c:v>
                </c:pt>
                <c:pt idx="144">
                  <c:v>84.375</c:v>
                </c:pt>
                <c:pt idx="145">
                  <c:v>6.1714285714285699</c:v>
                </c:pt>
                <c:pt idx="146">
                  <c:v>7.3440000000000003</c:v>
                </c:pt>
                <c:pt idx="147">
                  <c:v>26.4545454545454</c:v>
                </c:pt>
                <c:pt idx="148">
                  <c:v>16.342105263157801</c:v>
                </c:pt>
                <c:pt idx="149">
                  <c:v>4.8600000000000003</c:v>
                </c:pt>
                <c:pt idx="150">
                  <c:v>6.4</c:v>
                </c:pt>
                <c:pt idx="151">
                  <c:v>12.7</c:v>
                </c:pt>
                <c:pt idx="152">
                  <c:v>17.678571428571399</c:v>
                </c:pt>
                <c:pt idx="153">
                  <c:v>5.8571428571428497</c:v>
                </c:pt>
                <c:pt idx="154">
                  <c:v>6</c:v>
                </c:pt>
                <c:pt idx="155">
                  <c:v>120.75517241379301</c:v>
                </c:pt>
                <c:pt idx="156">
                  <c:v>12.6666666666666</c:v>
                </c:pt>
                <c:pt idx="157">
                  <c:v>13.65</c:v>
                </c:pt>
                <c:pt idx="158">
                  <c:v>0.76111111111111096</c:v>
                </c:pt>
                <c:pt idx="159">
                  <c:v>13.2115384615384</c:v>
                </c:pt>
                <c:pt idx="160">
                  <c:v>27.6428571428571</c:v>
                </c:pt>
                <c:pt idx="161">
                  <c:v>18.75</c:v>
                </c:pt>
                <c:pt idx="162">
                  <c:v>29.7115384615384</c:v>
                </c:pt>
                <c:pt idx="163">
                  <c:v>21.272727272727199</c:v>
                </c:pt>
                <c:pt idx="164">
                  <c:v>19.815789473684202</c:v>
                </c:pt>
                <c:pt idx="165">
                  <c:v>7.9428571428571404</c:v>
                </c:pt>
                <c:pt idx="166">
                  <c:v>6.0615384615384604</c:v>
                </c:pt>
                <c:pt idx="167">
                  <c:v>18.128571428571401</c:v>
                </c:pt>
                <c:pt idx="168">
                  <c:v>4.4400000000000004</c:v>
                </c:pt>
                <c:pt idx="169">
                  <c:v>8.9600000000000009</c:v>
                </c:pt>
                <c:pt idx="170">
                  <c:v>6.8615384615384603</c:v>
                </c:pt>
                <c:pt idx="171">
                  <c:v>34.6</c:v>
                </c:pt>
                <c:pt idx="172">
                  <c:v>74.7</c:v>
                </c:pt>
                <c:pt idx="173">
                  <c:v>4.8600000000000003</c:v>
                </c:pt>
                <c:pt idx="174">
                  <c:v>9.44</c:v>
                </c:pt>
                <c:pt idx="175">
                  <c:v>0.65</c:v>
                </c:pt>
                <c:pt idx="176">
                  <c:v>37.6875</c:v>
                </c:pt>
                <c:pt idx="177">
                  <c:v>5.8636363636363598E-2</c:v>
                </c:pt>
                <c:pt idx="178">
                  <c:v>4.8600000000000003</c:v>
                </c:pt>
                <c:pt idx="179">
                  <c:v>31.772727272727199</c:v>
                </c:pt>
                <c:pt idx="180">
                  <c:v>16.350000000000001</c:v>
                </c:pt>
                <c:pt idx="181">
                  <c:v>7.2235294117646998</c:v>
                </c:pt>
                <c:pt idx="182">
                  <c:v>31.9714285714285</c:v>
                </c:pt>
                <c:pt idx="183">
                  <c:v>26.58</c:v>
                </c:pt>
                <c:pt idx="184">
                  <c:v>23.25</c:v>
                </c:pt>
                <c:pt idx="185">
                  <c:v>5.8461538461538398E-2</c:v>
                </c:pt>
                <c:pt idx="186">
                  <c:v>17.147727272727199</c:v>
                </c:pt>
                <c:pt idx="187">
                  <c:v>4.5454545454545396</c:v>
                </c:pt>
                <c:pt idx="188">
                  <c:v>7.12</c:v>
                </c:pt>
                <c:pt idx="189">
                  <c:v>0.83499999999999996</c:v>
                </c:pt>
                <c:pt idx="190">
                  <c:v>9.1750000000000007</c:v>
                </c:pt>
                <c:pt idx="191">
                  <c:v>4.6315789473684204</c:v>
                </c:pt>
                <c:pt idx="192">
                  <c:v>17.4545454545454</c:v>
                </c:pt>
                <c:pt idx="193">
                  <c:v>3.77272727272727E-2</c:v>
                </c:pt>
                <c:pt idx="194">
                  <c:v>0.79500000000000004</c:v>
                </c:pt>
                <c:pt idx="195">
                  <c:v>6.2086956521739101</c:v>
                </c:pt>
                <c:pt idx="196">
                  <c:v>18.107142857142801</c:v>
                </c:pt>
                <c:pt idx="197">
                  <c:v>6.8307692307692296</c:v>
                </c:pt>
                <c:pt idx="198">
                  <c:v>3.9666666666666601</c:v>
                </c:pt>
                <c:pt idx="199">
                  <c:v>13.78125</c:v>
                </c:pt>
                <c:pt idx="200">
                  <c:v>47.769230769230703</c:v>
                </c:pt>
                <c:pt idx="201">
                  <c:v>28.5</c:v>
                </c:pt>
                <c:pt idx="202">
                  <c:v>17.0625</c:v>
                </c:pt>
                <c:pt idx="203">
                  <c:v>13.625</c:v>
                </c:pt>
                <c:pt idx="204">
                  <c:v>13.5833333333333</c:v>
                </c:pt>
                <c:pt idx="205">
                  <c:v>4.93333333333333</c:v>
                </c:pt>
                <c:pt idx="206">
                  <c:v>4.875</c:v>
                </c:pt>
                <c:pt idx="207">
                  <c:v>1.29375</c:v>
                </c:pt>
                <c:pt idx="208">
                  <c:v>7.85</c:v>
                </c:pt>
                <c:pt idx="209">
                  <c:v>23.01</c:v>
                </c:pt>
                <c:pt idx="210">
                  <c:v>119.892857142857</c:v>
                </c:pt>
                <c:pt idx="211">
                  <c:v>15.3947368421052</c:v>
                </c:pt>
                <c:pt idx="212">
                  <c:v>5.3250000000000002</c:v>
                </c:pt>
                <c:pt idx="213">
                  <c:v>8.3249999999999993</c:v>
                </c:pt>
                <c:pt idx="214">
                  <c:v>32.625</c:v>
                </c:pt>
                <c:pt idx="215">
                  <c:v>5.8499999999999899E-2</c:v>
                </c:pt>
                <c:pt idx="216">
                  <c:v>4.2750000000000004</c:v>
                </c:pt>
                <c:pt idx="217">
                  <c:v>18.75</c:v>
                </c:pt>
                <c:pt idx="218">
                  <c:v>7.8105263157894704</c:v>
                </c:pt>
                <c:pt idx="219">
                  <c:v>6.8888888888888805E-2</c:v>
                </c:pt>
                <c:pt idx="220">
                  <c:v>16.05</c:v>
                </c:pt>
                <c:pt idx="221">
                  <c:v>5.4782608695652097</c:v>
                </c:pt>
                <c:pt idx="222">
                  <c:v>49.885714285714201</c:v>
                </c:pt>
                <c:pt idx="223">
                  <c:v>11.12</c:v>
                </c:pt>
                <c:pt idx="224">
                  <c:v>16.3125</c:v>
                </c:pt>
                <c:pt idx="225">
                  <c:v>18</c:v>
                </c:pt>
                <c:pt idx="226">
                  <c:v>6.6363636363636305E-2</c:v>
                </c:pt>
                <c:pt idx="227">
                  <c:v>6.7</c:v>
                </c:pt>
                <c:pt idx="228">
                  <c:v>1.1555555555555499</c:v>
                </c:pt>
                <c:pt idx="229">
                  <c:v>6.7466666666666599</c:v>
                </c:pt>
                <c:pt idx="230">
                  <c:v>13.35</c:v>
                </c:pt>
                <c:pt idx="231">
                  <c:v>7.5250000000000004</c:v>
                </c:pt>
                <c:pt idx="232">
                  <c:v>7.0000000000000007E-2</c:v>
                </c:pt>
                <c:pt idx="233">
                  <c:v>10.5978260869565</c:v>
                </c:pt>
                <c:pt idx="234">
                  <c:v>17.100000000000001</c:v>
                </c:pt>
                <c:pt idx="235">
                  <c:v>40.625</c:v>
                </c:pt>
                <c:pt idx="236">
                  <c:v>17.73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0A-46C8-B901-9692931C7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065968"/>
        <c:axId val="1720067408"/>
      </c:scatterChart>
      <c:valAx>
        <c:axId val="1720065968"/>
        <c:scaling>
          <c:orientation val="minMax"/>
          <c:max val="2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067408"/>
        <c:crosses val="autoZero"/>
        <c:crossBetween val="midCat"/>
      </c:valAx>
      <c:valAx>
        <c:axId val="17200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06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2009775</xdr:colOff>
      <xdr:row>39</xdr:row>
      <xdr:rowOff>257175</xdr:rowOff>
    </xdr:from>
    <xdr:to>
      <xdr:col>35</xdr:col>
      <xdr:colOff>2009775</xdr:colOff>
      <xdr:row>276</xdr:row>
      <xdr:rowOff>30773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0BAEC40-E3F8-40DD-92C3-BDDC07D71382}"/>
            </a:ext>
          </a:extLst>
        </xdr:cNvPr>
        <xdr:cNvCxnSpPr/>
      </xdr:nvCxnSpPr>
      <xdr:spPr>
        <a:xfrm flipV="1">
          <a:off x="27111813" y="1737213"/>
          <a:ext cx="0" cy="1734216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3009900</xdr:colOff>
      <xdr:row>38</xdr:row>
      <xdr:rowOff>498230</xdr:rowOff>
    </xdr:from>
    <xdr:to>
      <xdr:col>35</xdr:col>
      <xdr:colOff>3009900</xdr:colOff>
      <xdr:row>276</xdr:row>
      <xdr:rowOff>54585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ED51DB1-7FFF-4BD5-A3F4-25F080AEDE81}"/>
            </a:ext>
          </a:extLst>
        </xdr:cNvPr>
        <xdr:cNvCxnSpPr/>
      </xdr:nvCxnSpPr>
      <xdr:spPr>
        <a:xfrm flipV="1">
          <a:off x="28111938" y="1480038"/>
          <a:ext cx="0" cy="17370266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5010150</xdr:colOff>
      <xdr:row>39</xdr:row>
      <xdr:rowOff>342900</xdr:rowOff>
    </xdr:from>
    <xdr:to>
      <xdr:col>35</xdr:col>
      <xdr:colOff>5010150</xdr:colOff>
      <xdr:row>276</xdr:row>
      <xdr:rowOff>30773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3B0D0A09-CA23-433C-9749-3DEDE086D9A4}"/>
            </a:ext>
          </a:extLst>
        </xdr:cNvPr>
        <xdr:cNvCxnSpPr/>
      </xdr:nvCxnSpPr>
      <xdr:spPr>
        <a:xfrm flipV="1">
          <a:off x="30112188" y="1822938"/>
          <a:ext cx="0" cy="173335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8792</xdr:colOff>
      <xdr:row>38</xdr:row>
      <xdr:rowOff>490902</xdr:rowOff>
    </xdr:from>
    <xdr:to>
      <xdr:col>36</xdr:col>
      <xdr:colOff>8792</xdr:colOff>
      <xdr:row>276</xdr:row>
      <xdr:rowOff>118695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536F4D8-6D7D-4933-B409-D32DA7B81B76}"/>
            </a:ext>
          </a:extLst>
        </xdr:cNvPr>
        <xdr:cNvCxnSpPr/>
      </xdr:nvCxnSpPr>
      <xdr:spPr>
        <a:xfrm flipV="1">
          <a:off x="31177523" y="1472710"/>
          <a:ext cx="0" cy="1737741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2088173</xdr:colOff>
      <xdr:row>38</xdr:row>
      <xdr:rowOff>498230</xdr:rowOff>
    </xdr:from>
    <xdr:to>
      <xdr:col>34</xdr:col>
      <xdr:colOff>2088173</xdr:colOff>
      <xdr:row>276</xdr:row>
      <xdr:rowOff>11722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37E52B4A-41F4-4D3D-B1A3-EC7A4E22CD37}"/>
            </a:ext>
          </a:extLst>
        </xdr:cNvPr>
        <xdr:cNvCxnSpPr/>
      </xdr:nvCxnSpPr>
      <xdr:spPr>
        <a:xfrm flipV="1">
          <a:off x="25102038" y="1480038"/>
          <a:ext cx="0" cy="17365979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301870</xdr:colOff>
      <xdr:row>1</xdr:row>
      <xdr:rowOff>86457</xdr:rowOff>
    </xdr:from>
    <xdr:to>
      <xdr:col>35</xdr:col>
      <xdr:colOff>1792900</xdr:colOff>
      <xdr:row>28</xdr:row>
      <xdr:rowOff>183172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0053570-BEA6-41BA-AF69-28B0E53C34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2686049</xdr:colOff>
      <xdr:row>1</xdr:row>
      <xdr:rowOff>80961</xdr:rowOff>
    </xdr:from>
    <xdr:to>
      <xdr:col>40</xdr:col>
      <xdr:colOff>752474</xdr:colOff>
      <xdr:row>28</xdr:row>
      <xdr:rowOff>180974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365C25F-5B78-8964-ECE8-D95237B80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962024</xdr:colOff>
      <xdr:row>1</xdr:row>
      <xdr:rowOff>71436</xdr:rowOff>
    </xdr:from>
    <xdr:to>
      <xdr:col>47</xdr:col>
      <xdr:colOff>1485899</xdr:colOff>
      <xdr:row>28</xdr:row>
      <xdr:rowOff>171449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195FA4F-9369-5C1F-F389-07607E739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Vseq_Results/extracted/SPROMMU159678_HYPGDFSPEMHASLDK_M1830.8115_ch3_best2.pdf" TargetMode="External"/><Relationship Id="rId3" Type="http://schemas.openxmlformats.org/officeDocument/2006/relationships/hyperlink" Target="../Vseq_Results/extracted/SPROMMU5709_LASESVYVVSLQSTNSQGQSQPVYR_M2727.3583_ch3_best2.pdf" TargetMode="External"/><Relationship Id="rId7" Type="http://schemas.openxmlformats.org/officeDocument/2006/relationships/hyperlink" Target="../Vseq_Results/extracted/SPROMMU169698_LPGLFQPGCSGAK_M1331.6776_ch2_best2.pdf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../Vseq_Results/extracted/SPROMMU10382_ENLMTDTAPLCSHHQTR_M2010.912_ch3_best2.pdf" TargetMode="External"/><Relationship Id="rId1" Type="http://schemas.openxmlformats.org/officeDocument/2006/relationships/hyperlink" Target="../Vseq_Results/extracted/1135118_TX_GVEVFSSVSPQGGGAGK_M1562.7809_ch2_best2.pdf" TargetMode="External"/><Relationship Id="rId6" Type="http://schemas.openxmlformats.org/officeDocument/2006/relationships/hyperlink" Target="../Vseq_Results/extracted/SPROMMU199327_EEEEPMDTSSVTHTEHYK_M2148.9027_ch3_best2.pdf" TargetMode="External"/><Relationship Id="rId11" Type="http://schemas.openxmlformats.org/officeDocument/2006/relationships/hyperlink" Target="../Vseq_Results/extracted/SPROMMU12588_AVTVYTNYPLPGEAFNR_M1911.9599_ch2_best2.pdf" TargetMode="External"/><Relationship Id="rId5" Type="http://schemas.openxmlformats.org/officeDocument/2006/relationships/hyperlink" Target="../Vseq_Results/extracted/SPROMMU233354_EFNNLLITGTDR_M1392.7117_ch2_best2.pdf" TargetMode="External"/><Relationship Id="rId10" Type="http://schemas.openxmlformats.org/officeDocument/2006/relationships/hyperlink" Target="../Vseq_Results/extracted/SPROMMU126451_YYLTLDIESTECRK_M1790.8629_ch2_best2.pdf" TargetMode="External"/><Relationship Id="rId4" Type="http://schemas.openxmlformats.org/officeDocument/2006/relationships/hyperlink" Target="../Vseq_Results/extracted/SPROMMU37304_SHQCLSYCPTDLENSPIK_M2148.9688_ch3_best2.pdf" TargetMode="External"/><Relationship Id="rId9" Type="http://schemas.openxmlformats.org/officeDocument/2006/relationships/hyperlink" Target="../Vseq_Results/extracted/SPROMMU127863_SPEPGQTWTHEVFSSR_M1844.8562_ch3_best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5CE1-8A76-423D-BFAA-BDDF8C265D68}">
  <dimension ref="A1:AS276"/>
  <sheetViews>
    <sheetView tabSelected="1" topLeftCell="A30" zoomScaleNormal="100" workbookViewId="0">
      <selection activeCell="K39" sqref="K39"/>
    </sheetView>
  </sheetViews>
  <sheetFormatPr defaultRowHeight="15"/>
  <cols>
    <col min="1" max="1" width="11.85546875" bestFit="1" customWidth="1"/>
    <col min="3" max="3" width="39.140625" style="19" bestFit="1" customWidth="1"/>
    <col min="4" max="4" width="6.42578125" customWidth="1"/>
    <col min="5" max="5" width="19.85546875" style="17" bestFit="1" customWidth="1"/>
    <col min="6" max="14" width="6.42578125" customWidth="1"/>
    <col min="15" max="15" width="35.28515625" bestFit="1" customWidth="1"/>
    <col min="16" max="16" width="35.7109375" bestFit="1" customWidth="1"/>
    <col min="17" max="34" width="5.42578125" customWidth="1"/>
    <col min="35" max="35" width="23.140625" customWidth="1"/>
    <col min="36" max="36" width="91" customWidth="1"/>
    <col min="37" max="38" width="14" bestFit="1" customWidth="1"/>
    <col min="39" max="39" width="14" customWidth="1"/>
    <col min="40" max="40" width="22.140625" bestFit="1" customWidth="1"/>
    <col min="41" max="41" width="17.5703125" bestFit="1" customWidth="1"/>
    <col min="42" max="42" width="39.140625" style="19" bestFit="1" customWidth="1"/>
    <col min="43" max="45" width="14.42578125" style="16" customWidth="1"/>
    <col min="48" max="48" width="35.28515625" bestFit="1" customWidth="1"/>
  </cols>
  <sheetData>
    <row r="1" spans="3:42">
      <c r="C1"/>
      <c r="E1"/>
      <c r="AP1"/>
    </row>
    <row r="2" spans="3:42">
      <c r="C2"/>
      <c r="E2"/>
      <c r="AP2"/>
    </row>
    <row r="3" spans="3:42">
      <c r="C3"/>
      <c r="E3"/>
      <c r="AP3"/>
    </row>
    <row r="4" spans="3:42">
      <c r="C4"/>
      <c r="E4"/>
      <c r="AP4"/>
    </row>
    <row r="5" spans="3:42">
      <c r="C5"/>
      <c r="E5"/>
      <c r="AP5"/>
    </row>
    <row r="6" spans="3:42">
      <c r="C6"/>
      <c r="E6"/>
      <c r="AP6"/>
    </row>
    <row r="7" spans="3:42">
      <c r="C7"/>
      <c r="E7"/>
      <c r="AP7"/>
    </row>
    <row r="8" spans="3:42">
      <c r="C8"/>
      <c r="E8"/>
      <c r="AP8"/>
    </row>
    <row r="9" spans="3:42">
      <c r="C9"/>
      <c r="E9"/>
      <c r="AP9"/>
    </row>
    <row r="10" spans="3:42">
      <c r="C10"/>
      <c r="E10"/>
      <c r="AP10"/>
    </row>
    <row r="11" spans="3:42">
      <c r="C11"/>
      <c r="E11"/>
      <c r="AP11"/>
    </row>
    <row r="12" spans="3:42">
      <c r="C12"/>
      <c r="E12"/>
      <c r="AP12"/>
    </row>
    <row r="13" spans="3:42">
      <c r="C13"/>
      <c r="E13"/>
      <c r="AP13"/>
    </row>
    <row r="14" spans="3:42">
      <c r="C14"/>
      <c r="E14"/>
      <c r="AP14"/>
    </row>
    <row r="15" spans="3:42" ht="28.5">
      <c r="C15"/>
      <c r="E15"/>
      <c r="AA15" s="14" t="s">
        <v>0</v>
      </c>
      <c r="AP15"/>
    </row>
    <row r="16" spans="3:42">
      <c r="C16"/>
      <c r="E16"/>
      <c r="AP16"/>
    </row>
    <row r="17" spans="3:43">
      <c r="C17"/>
      <c r="E17"/>
      <c r="AP17"/>
    </row>
    <row r="18" spans="3:43">
      <c r="C18"/>
      <c r="E18"/>
      <c r="AP18"/>
    </row>
    <row r="19" spans="3:43">
      <c r="C19"/>
      <c r="E19"/>
      <c r="AP19"/>
    </row>
    <row r="20" spans="3:43">
      <c r="C20"/>
      <c r="E20"/>
      <c r="AP20"/>
    </row>
    <row r="21" spans="3:43">
      <c r="C21"/>
      <c r="E21"/>
      <c r="AP21"/>
    </row>
    <row r="22" spans="3:43">
      <c r="C22"/>
      <c r="E22"/>
      <c r="AP22"/>
    </row>
    <row r="23" spans="3:43">
      <c r="C23"/>
      <c r="E23"/>
      <c r="AP23"/>
    </row>
    <row r="24" spans="3:43">
      <c r="C24"/>
      <c r="E24"/>
      <c r="AP24"/>
    </row>
    <row r="25" spans="3:43">
      <c r="C25"/>
      <c r="E25"/>
      <c r="AP25"/>
    </row>
    <row r="26" spans="3:43">
      <c r="C26"/>
      <c r="E26"/>
      <c r="AP26"/>
    </row>
    <row r="27" spans="3:43">
      <c r="C27"/>
      <c r="E27"/>
      <c r="AP27"/>
    </row>
    <row r="28" spans="3:43">
      <c r="C28"/>
      <c r="E28"/>
      <c r="AP28"/>
    </row>
    <row r="29" spans="3:43">
      <c r="C29"/>
      <c r="E29"/>
      <c r="AP29"/>
    </row>
    <row r="30" spans="3:43">
      <c r="C30"/>
      <c r="E30"/>
      <c r="AP30"/>
    </row>
    <row r="31" spans="3:43" ht="26.25">
      <c r="C31"/>
      <c r="E31"/>
      <c r="AI31" s="15" t="s">
        <v>1</v>
      </c>
      <c r="AK31" s="15" t="s">
        <v>2</v>
      </c>
      <c r="AP31"/>
      <c r="AQ31" s="15" t="s">
        <v>3</v>
      </c>
    </row>
    <row r="32" spans="3:43">
      <c r="C32"/>
      <c r="E32"/>
      <c r="AP32"/>
    </row>
    <row r="33" spans="1:45">
      <c r="C33"/>
      <c r="E33"/>
      <c r="AP33"/>
    </row>
    <row r="34" spans="1:45">
      <c r="C34"/>
      <c r="E34"/>
      <c r="AP34"/>
    </row>
    <row r="35" spans="1:45">
      <c r="C35"/>
      <c r="E35"/>
      <c r="AP35"/>
    </row>
    <row r="36" spans="1:45" ht="15.75" thickBot="1">
      <c r="C36"/>
      <c r="E36"/>
      <c r="AP36"/>
    </row>
    <row r="37" spans="1:45" ht="21.75" thickBot="1">
      <c r="C37"/>
      <c r="E37"/>
      <c r="Q37" s="20" t="s">
        <v>4</v>
      </c>
      <c r="R37" s="21"/>
      <c r="S37" s="21"/>
      <c r="T37" s="21"/>
      <c r="U37" s="21"/>
      <c r="V37" s="21"/>
      <c r="W37" s="21"/>
      <c r="X37" s="21"/>
      <c r="Y37" s="22"/>
      <c r="Z37" s="20" t="s">
        <v>5</v>
      </c>
      <c r="AA37" s="21"/>
      <c r="AB37" s="21"/>
      <c r="AC37" s="21"/>
      <c r="AD37" s="21"/>
      <c r="AE37" s="21"/>
      <c r="AF37" s="21"/>
      <c r="AG37" s="21"/>
      <c r="AH37" s="22"/>
      <c r="AP37"/>
    </row>
    <row r="38" spans="1:45" ht="24.75" thickBot="1">
      <c r="C38"/>
      <c r="E38"/>
      <c r="Q38" s="23" t="s">
        <v>6</v>
      </c>
      <c r="R38" s="24"/>
      <c r="S38" s="24"/>
      <c r="T38" s="24"/>
      <c r="U38" s="24"/>
      <c r="V38" s="25"/>
      <c r="W38" s="23" t="s">
        <v>7</v>
      </c>
      <c r="X38" s="24"/>
      <c r="Y38" s="25"/>
      <c r="Z38" s="23" t="s">
        <v>6</v>
      </c>
      <c r="AA38" s="24"/>
      <c r="AB38" s="24"/>
      <c r="AC38" s="24"/>
      <c r="AD38" s="24"/>
      <c r="AE38" s="25"/>
      <c r="AF38" s="23" t="s">
        <v>7</v>
      </c>
      <c r="AG38" s="24"/>
      <c r="AH38" s="25"/>
      <c r="AJ38" s="4" t="s">
        <v>8</v>
      </c>
      <c r="AP38"/>
    </row>
    <row r="39" spans="1:45" s="3" customFormat="1" ht="203.25">
      <c r="A39" s="3" t="s">
        <v>9</v>
      </c>
      <c r="C39" s="13" t="s">
        <v>10</v>
      </c>
      <c r="D39" s="12" t="s">
        <v>11</v>
      </c>
      <c r="E39" s="11" t="s">
        <v>12</v>
      </c>
      <c r="F39" s="12" t="s">
        <v>13</v>
      </c>
      <c r="G39" s="12" t="s">
        <v>14</v>
      </c>
      <c r="H39" s="12" t="s">
        <v>15</v>
      </c>
      <c r="I39" s="12" t="s">
        <v>16</v>
      </c>
      <c r="J39" s="12" t="s">
        <v>17</v>
      </c>
      <c r="K39" s="12" t="s">
        <v>18</v>
      </c>
      <c r="L39" s="12" t="s">
        <v>19</v>
      </c>
      <c r="M39" s="12" t="s">
        <v>20</v>
      </c>
      <c r="N39" s="12" t="s">
        <v>21</v>
      </c>
      <c r="O39" s="7" t="s">
        <v>22</v>
      </c>
      <c r="P39" s="7" t="s">
        <v>23</v>
      </c>
      <c r="Q39" s="8" t="s">
        <v>24</v>
      </c>
      <c r="R39" s="8" t="s">
        <v>25</v>
      </c>
      <c r="S39" s="8" t="s">
        <v>26</v>
      </c>
      <c r="T39" s="8" t="s">
        <v>27</v>
      </c>
      <c r="U39" s="8" t="s">
        <v>28</v>
      </c>
      <c r="V39" s="8" t="s">
        <v>29</v>
      </c>
      <c r="W39" s="8" t="s">
        <v>30</v>
      </c>
      <c r="X39" s="8" t="s">
        <v>31</v>
      </c>
      <c r="Y39" s="8" t="s">
        <v>32</v>
      </c>
      <c r="Z39" s="8" t="s">
        <v>33</v>
      </c>
      <c r="AA39" s="8" t="s">
        <v>34</v>
      </c>
      <c r="AB39" s="8" t="s">
        <v>35</v>
      </c>
      <c r="AC39" s="8" t="s">
        <v>36</v>
      </c>
      <c r="AD39" s="8" t="s">
        <v>37</v>
      </c>
      <c r="AE39" s="8" t="s">
        <v>38</v>
      </c>
      <c r="AF39" s="8" t="s">
        <v>39</v>
      </c>
      <c r="AG39" s="8" t="s">
        <v>40</v>
      </c>
      <c r="AH39" s="8" t="s">
        <v>41</v>
      </c>
      <c r="AI39" s="7" t="s">
        <v>42</v>
      </c>
      <c r="AJ39" s="2" t="s">
        <v>43</v>
      </c>
      <c r="AK39" s="7" t="s">
        <v>1</v>
      </c>
      <c r="AL39" s="7" t="s">
        <v>0</v>
      </c>
      <c r="AM39" s="7" t="s">
        <v>44</v>
      </c>
      <c r="AN39" s="7" t="s">
        <v>45</v>
      </c>
      <c r="AO39" s="7" t="s">
        <v>46</v>
      </c>
      <c r="AP39" s="9" t="s">
        <v>47</v>
      </c>
      <c r="AQ39" s="7"/>
      <c r="AR39" s="7"/>
      <c r="AS39" s="7"/>
    </row>
    <row r="40" spans="1:45" ht="57.75" customHeight="1">
      <c r="B40">
        <f>IF(AI40=AI39,1,0)</f>
        <v>0</v>
      </c>
      <c r="C40" s="19" t="s">
        <v>48</v>
      </c>
      <c r="D40" t="s">
        <v>49</v>
      </c>
      <c r="E40" s="17">
        <v>68.75</v>
      </c>
      <c r="F40">
        <v>16</v>
      </c>
      <c r="G40">
        <v>4</v>
      </c>
      <c r="H40">
        <v>1</v>
      </c>
      <c r="I40">
        <v>1</v>
      </c>
      <c r="J40">
        <v>16</v>
      </c>
      <c r="K40">
        <v>827</v>
      </c>
      <c r="L40">
        <v>841</v>
      </c>
      <c r="M40">
        <v>1.1000000000000001</v>
      </c>
      <c r="N40">
        <v>23.1</v>
      </c>
      <c r="O40" t="s">
        <v>48</v>
      </c>
      <c r="P40" t="s">
        <v>50</v>
      </c>
      <c r="Q40" s="18">
        <v>0</v>
      </c>
      <c r="R40" s="18">
        <v>0</v>
      </c>
      <c r="S40" s="18">
        <v>0</v>
      </c>
      <c r="T40" s="18">
        <v>0</v>
      </c>
      <c r="U40" s="18">
        <v>9231.2900000000009</v>
      </c>
      <c r="V40" s="18">
        <v>7530.37</v>
      </c>
      <c r="W40" s="18">
        <v>0</v>
      </c>
      <c r="X40" s="18">
        <v>9181.4699999999993</v>
      </c>
      <c r="Y40" s="18">
        <v>8710.07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 t="s">
        <v>51</v>
      </c>
      <c r="AK40">
        <v>18.1096</v>
      </c>
      <c r="AL40">
        <v>28.223315599999999</v>
      </c>
      <c r="AM40">
        <f>ABS(AK40-AL40)</f>
        <v>10.113715599999999</v>
      </c>
      <c r="AN40">
        <v>28.1892518344705</v>
      </c>
      <c r="AO40">
        <v>5.3</v>
      </c>
      <c r="AP40" s="19" t="s">
        <v>48</v>
      </c>
    </row>
    <row r="41" spans="1:45" ht="57.75" customHeight="1">
      <c r="B41">
        <f t="shared" ref="B41:B104" si="0">IF(AI41=AI40,1,0)</f>
        <v>1</v>
      </c>
      <c r="C41" s="19" t="s">
        <v>52</v>
      </c>
      <c r="D41" t="s">
        <v>53</v>
      </c>
      <c r="E41" s="17">
        <v>87.5</v>
      </c>
      <c r="F41">
        <v>8</v>
      </c>
      <c r="G41">
        <v>1</v>
      </c>
      <c r="H41">
        <v>0</v>
      </c>
      <c r="I41">
        <v>3</v>
      </c>
      <c r="J41">
        <v>10</v>
      </c>
      <c r="K41">
        <v>2205</v>
      </c>
      <c r="L41">
        <v>2212</v>
      </c>
      <c r="M41">
        <v>5.2</v>
      </c>
      <c r="N41">
        <v>21.2</v>
      </c>
      <c r="O41" t="s">
        <v>54</v>
      </c>
      <c r="P41" t="s">
        <v>55</v>
      </c>
      <c r="Q41" s="18">
        <v>217386</v>
      </c>
      <c r="R41" s="18">
        <v>117191</v>
      </c>
      <c r="S41" s="18">
        <v>135532</v>
      </c>
      <c r="T41" s="18">
        <v>120037</v>
      </c>
      <c r="U41" s="18">
        <v>108122</v>
      </c>
      <c r="V41" s="18">
        <v>191630</v>
      </c>
      <c r="W41" s="18">
        <v>102083</v>
      </c>
      <c r="X41" s="18">
        <v>118653</v>
      </c>
      <c r="Y41" s="18">
        <v>161627</v>
      </c>
      <c r="Z41" s="18">
        <v>0</v>
      </c>
      <c r="AA41" s="18">
        <v>112615</v>
      </c>
      <c r="AB41" s="18">
        <v>95308.5</v>
      </c>
      <c r="AC41" s="18">
        <v>97420</v>
      </c>
      <c r="AD41" s="18">
        <v>116303</v>
      </c>
      <c r="AE41" s="18">
        <v>108920</v>
      </c>
      <c r="AF41" s="18">
        <v>46198.400000000001</v>
      </c>
      <c r="AG41" s="18">
        <v>0</v>
      </c>
      <c r="AH41" s="18">
        <v>0</v>
      </c>
      <c r="AI41" s="18" t="s">
        <v>51</v>
      </c>
      <c r="AK41">
        <v>8.6858599999999999</v>
      </c>
      <c r="AL41">
        <v>28.9069033333333</v>
      </c>
      <c r="AM41">
        <f t="shared" ref="AM41:AM104" si="1">ABS(AK41-AL41)</f>
        <v>20.221043333333299</v>
      </c>
      <c r="AN41">
        <v>15.108829274844499</v>
      </c>
      <c r="AO41">
        <v>3.5</v>
      </c>
      <c r="AP41" s="19" t="s">
        <v>52</v>
      </c>
    </row>
    <row r="42" spans="1:45" ht="57.75" customHeight="1">
      <c r="B42">
        <f t="shared" si="0"/>
        <v>0</v>
      </c>
      <c r="C42" s="19" t="s">
        <v>56</v>
      </c>
      <c r="D42" t="s">
        <v>57</v>
      </c>
      <c r="E42" s="17">
        <v>50</v>
      </c>
      <c r="F42">
        <v>14</v>
      </c>
      <c r="G42">
        <v>7</v>
      </c>
      <c r="H42">
        <v>0</v>
      </c>
      <c r="I42">
        <v>1</v>
      </c>
      <c r="J42">
        <v>14</v>
      </c>
      <c r="K42">
        <v>234</v>
      </c>
      <c r="L42">
        <v>247</v>
      </c>
      <c r="M42">
        <v>8.8000000000000007</v>
      </c>
      <c r="N42">
        <v>20.8</v>
      </c>
      <c r="O42" t="s">
        <v>58</v>
      </c>
      <c r="P42" t="s">
        <v>59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2106.5700000000002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1860.67</v>
      </c>
      <c r="AH42">
        <v>0</v>
      </c>
      <c r="AI42" t="s">
        <v>60</v>
      </c>
      <c r="AK42">
        <v>15.1454</v>
      </c>
      <c r="AL42">
        <v>21.8899698666667</v>
      </c>
      <c r="AM42">
        <f t="shared" si="1"/>
        <v>6.7445698666666996</v>
      </c>
      <c r="AN42">
        <v>23.9283008110399</v>
      </c>
      <c r="AO42">
        <v>6.3058823529411701</v>
      </c>
      <c r="AP42" s="10" t="s">
        <v>56</v>
      </c>
    </row>
    <row r="43" spans="1:45" ht="57.75" customHeight="1">
      <c r="B43">
        <f t="shared" si="0"/>
        <v>0</v>
      </c>
      <c r="C43" s="19" t="s">
        <v>61</v>
      </c>
      <c r="D43" t="s">
        <v>62</v>
      </c>
      <c r="E43" s="17">
        <v>92.593000000000004</v>
      </c>
      <c r="F43">
        <v>27</v>
      </c>
      <c r="G43">
        <v>2</v>
      </c>
      <c r="H43">
        <v>0</v>
      </c>
      <c r="I43">
        <v>1</v>
      </c>
      <c r="J43">
        <v>27</v>
      </c>
      <c r="K43">
        <v>120</v>
      </c>
      <c r="L43">
        <v>146</v>
      </c>
      <c r="M43" s="1">
        <v>6.1599999999999996E-12</v>
      </c>
      <c r="N43">
        <v>54.3</v>
      </c>
      <c r="O43" t="s">
        <v>61</v>
      </c>
      <c r="P43" t="s">
        <v>63</v>
      </c>
      <c r="Q43">
        <v>2640000</v>
      </c>
      <c r="R43">
        <v>3760000</v>
      </c>
      <c r="S43">
        <v>3740000</v>
      </c>
      <c r="T43">
        <v>4090000</v>
      </c>
      <c r="U43">
        <v>3720000</v>
      </c>
      <c r="V43">
        <v>4160000</v>
      </c>
      <c r="W43">
        <v>5940000</v>
      </c>
      <c r="X43">
        <v>5130000</v>
      </c>
      <c r="Y43">
        <v>7130000</v>
      </c>
      <c r="Z43">
        <v>1350000</v>
      </c>
      <c r="AA43">
        <v>1500000</v>
      </c>
      <c r="AB43">
        <v>1040000</v>
      </c>
      <c r="AC43">
        <v>939119</v>
      </c>
      <c r="AD43">
        <v>1350000</v>
      </c>
      <c r="AE43">
        <v>1860000</v>
      </c>
      <c r="AF43">
        <v>1910000</v>
      </c>
      <c r="AG43">
        <v>1750000</v>
      </c>
      <c r="AH43">
        <v>2500000</v>
      </c>
      <c r="AI43" t="s">
        <v>64</v>
      </c>
      <c r="AK43">
        <v>25.336200000000002</v>
      </c>
      <c r="AL43">
        <v>25.393300133333302</v>
      </c>
      <c r="AM43">
        <f t="shared" si="1"/>
        <v>5.7100133333300107E-2</v>
      </c>
      <c r="AN43">
        <v>92.007923453039297</v>
      </c>
      <c r="AO43">
        <v>66.3</v>
      </c>
      <c r="AP43" s="19" t="s">
        <v>61</v>
      </c>
    </row>
    <row r="44" spans="1:45" ht="57.75" customHeight="1">
      <c r="B44">
        <f t="shared" si="0"/>
        <v>0</v>
      </c>
      <c r="C44" s="19" t="s">
        <v>65</v>
      </c>
      <c r="D44" t="s">
        <v>66</v>
      </c>
      <c r="E44" s="17">
        <v>88.888999999999996</v>
      </c>
      <c r="F44">
        <v>9</v>
      </c>
      <c r="G44">
        <v>1</v>
      </c>
      <c r="H44">
        <v>0</v>
      </c>
      <c r="I44">
        <v>1</v>
      </c>
      <c r="J44">
        <v>9</v>
      </c>
      <c r="K44">
        <v>97</v>
      </c>
      <c r="L44">
        <v>105</v>
      </c>
      <c r="M44">
        <v>7.4</v>
      </c>
      <c r="N44">
        <v>20.399999999999999</v>
      </c>
      <c r="O44" t="s">
        <v>65</v>
      </c>
      <c r="P44" t="s">
        <v>67</v>
      </c>
      <c r="Q44">
        <v>569096</v>
      </c>
      <c r="R44">
        <v>0</v>
      </c>
      <c r="S44">
        <v>0</v>
      </c>
      <c r="T44">
        <v>0</v>
      </c>
      <c r="U44">
        <v>654038</v>
      </c>
      <c r="V44">
        <v>504744</v>
      </c>
      <c r="W44">
        <v>551273</v>
      </c>
      <c r="X44">
        <v>0</v>
      </c>
      <c r="Y44">
        <v>653122</v>
      </c>
      <c r="Z44">
        <v>328085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68</v>
      </c>
      <c r="AK44">
        <v>13.1188</v>
      </c>
      <c r="AL44">
        <v>16.5182933333333</v>
      </c>
      <c r="AM44">
        <f t="shared" si="1"/>
        <v>3.3994933333333002</v>
      </c>
      <c r="AN44">
        <v>14.9040676739367</v>
      </c>
      <c r="AO44">
        <v>0.105</v>
      </c>
      <c r="AP44" s="19" t="s">
        <v>65</v>
      </c>
    </row>
    <row r="45" spans="1:45" ht="57.75" customHeight="1">
      <c r="B45">
        <f t="shared" si="0"/>
        <v>0</v>
      </c>
      <c r="C45" s="19" t="s">
        <v>69</v>
      </c>
      <c r="D45" t="s">
        <v>70</v>
      </c>
      <c r="E45" s="17">
        <v>83.332999999999998</v>
      </c>
      <c r="F45">
        <v>12</v>
      </c>
      <c r="G45">
        <v>2</v>
      </c>
      <c r="H45">
        <v>0</v>
      </c>
      <c r="I45">
        <v>1</v>
      </c>
      <c r="J45">
        <v>12</v>
      </c>
      <c r="K45">
        <v>58</v>
      </c>
      <c r="L45">
        <v>69</v>
      </c>
      <c r="M45">
        <v>0.19</v>
      </c>
      <c r="N45">
        <v>25</v>
      </c>
      <c r="O45" t="s">
        <v>69</v>
      </c>
      <c r="P45" t="s">
        <v>71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71452.2</v>
      </c>
      <c r="AC45" s="18">
        <v>0</v>
      </c>
      <c r="AD45" s="18">
        <v>5260.46</v>
      </c>
      <c r="AE45" s="18">
        <v>0</v>
      </c>
      <c r="AF45" s="18">
        <v>166091</v>
      </c>
      <c r="AG45" s="18">
        <v>1459.65</v>
      </c>
      <c r="AH45" s="18">
        <v>42871</v>
      </c>
      <c r="AI45" s="18" t="s">
        <v>72</v>
      </c>
      <c r="AK45">
        <v>15.6744</v>
      </c>
      <c r="AL45">
        <v>16.3386894666667</v>
      </c>
      <c r="AM45">
        <f t="shared" si="1"/>
        <v>0.66428946666670008</v>
      </c>
      <c r="AN45">
        <v>23.986557721967401</v>
      </c>
      <c r="AO45">
        <v>20.4375</v>
      </c>
      <c r="AP45" s="19" t="s">
        <v>69</v>
      </c>
    </row>
    <row r="46" spans="1:45" ht="57.75" customHeight="1">
      <c r="B46">
        <f t="shared" si="0"/>
        <v>1</v>
      </c>
      <c r="C46" s="19" t="s">
        <v>73</v>
      </c>
      <c r="D46" t="s">
        <v>74</v>
      </c>
      <c r="E46" s="17">
        <v>87.5</v>
      </c>
      <c r="F46">
        <v>8</v>
      </c>
      <c r="G46">
        <v>1</v>
      </c>
      <c r="H46">
        <v>0</v>
      </c>
      <c r="I46">
        <v>1</v>
      </c>
      <c r="J46">
        <v>8</v>
      </c>
      <c r="K46">
        <v>31</v>
      </c>
      <c r="L46">
        <v>38</v>
      </c>
      <c r="M46">
        <v>6.9</v>
      </c>
      <c r="N46">
        <v>20.399999999999999</v>
      </c>
      <c r="O46" t="s">
        <v>73</v>
      </c>
      <c r="P46" t="s">
        <v>75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120114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651563</v>
      </c>
      <c r="AE46" s="18">
        <v>0</v>
      </c>
      <c r="AF46" s="18">
        <v>0</v>
      </c>
      <c r="AG46" s="18">
        <v>0</v>
      </c>
      <c r="AH46" s="18">
        <v>0</v>
      </c>
      <c r="AI46" s="18" t="s">
        <v>72</v>
      </c>
      <c r="AK46">
        <v>16.5871</v>
      </c>
      <c r="AL46">
        <v>12.751004</v>
      </c>
      <c r="AM46">
        <f t="shared" si="1"/>
        <v>3.8360959999999995</v>
      </c>
      <c r="AN46">
        <v>11.9060808237877</v>
      </c>
      <c r="AO46">
        <v>6.1874999999999999E-2</v>
      </c>
      <c r="AP46" s="19" t="s">
        <v>73</v>
      </c>
    </row>
    <row r="47" spans="1:45" ht="57.75" customHeight="1">
      <c r="A47">
        <v>1</v>
      </c>
      <c r="B47">
        <f t="shared" si="0"/>
        <v>0</v>
      </c>
      <c r="C47" s="19" t="s">
        <v>76</v>
      </c>
      <c r="D47" t="s">
        <v>77</v>
      </c>
      <c r="E47" s="17">
        <v>58.823999999999998</v>
      </c>
      <c r="F47">
        <v>17</v>
      </c>
      <c r="G47">
        <v>7</v>
      </c>
      <c r="H47">
        <v>0</v>
      </c>
      <c r="I47">
        <v>2</v>
      </c>
      <c r="J47">
        <v>18</v>
      </c>
      <c r="K47">
        <v>2523</v>
      </c>
      <c r="L47">
        <v>2539</v>
      </c>
      <c r="M47">
        <v>0.52</v>
      </c>
      <c r="N47">
        <v>24.3</v>
      </c>
      <c r="O47" t="s">
        <v>78</v>
      </c>
      <c r="P47" t="s">
        <v>79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1779.67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80</v>
      </c>
      <c r="AK47">
        <v>12.8345</v>
      </c>
      <c r="AL47">
        <v>27.0654124666667</v>
      </c>
      <c r="AM47">
        <f t="shared" si="1"/>
        <v>14.2309124666667</v>
      </c>
      <c r="AN47">
        <v>29.0379677686939</v>
      </c>
      <c r="AO47">
        <v>5.7473684210526299</v>
      </c>
      <c r="AP47" s="19" t="s">
        <v>76</v>
      </c>
    </row>
    <row r="48" spans="1:45" ht="57.75" customHeight="1">
      <c r="B48">
        <f t="shared" si="0"/>
        <v>0</v>
      </c>
      <c r="C48" s="19" t="s">
        <v>81</v>
      </c>
      <c r="D48" t="s">
        <v>82</v>
      </c>
      <c r="E48" s="17">
        <v>58.332999999999998</v>
      </c>
      <c r="F48">
        <v>12</v>
      </c>
      <c r="G48">
        <v>5</v>
      </c>
      <c r="H48">
        <v>0</v>
      </c>
      <c r="I48">
        <v>3</v>
      </c>
      <c r="J48">
        <v>14</v>
      </c>
      <c r="K48">
        <v>329</v>
      </c>
      <c r="L48">
        <v>340</v>
      </c>
      <c r="M48">
        <v>4.5</v>
      </c>
      <c r="N48">
        <v>21.6</v>
      </c>
      <c r="O48" t="s">
        <v>83</v>
      </c>
      <c r="P48" t="s">
        <v>84</v>
      </c>
      <c r="Q48" s="18">
        <v>2450000</v>
      </c>
      <c r="R48" s="18">
        <v>2710000</v>
      </c>
      <c r="S48" s="18">
        <v>3050000</v>
      </c>
      <c r="T48" s="18">
        <v>2410000</v>
      </c>
      <c r="U48" s="18">
        <v>3480000</v>
      </c>
      <c r="V48" s="18">
        <v>1800000</v>
      </c>
      <c r="W48" s="18">
        <v>925029</v>
      </c>
      <c r="X48" s="18">
        <v>2040000</v>
      </c>
      <c r="Y48" s="18">
        <v>1650000</v>
      </c>
      <c r="Z48" s="18">
        <v>5130000</v>
      </c>
      <c r="AA48" s="18">
        <v>8600000</v>
      </c>
      <c r="AB48" s="18">
        <v>5700000</v>
      </c>
      <c r="AC48" s="18">
        <v>5460000</v>
      </c>
      <c r="AD48" s="18">
        <v>5400000</v>
      </c>
      <c r="AE48" s="18">
        <v>4910000</v>
      </c>
      <c r="AF48" s="18">
        <v>0</v>
      </c>
      <c r="AG48" s="18">
        <v>0</v>
      </c>
      <c r="AH48" s="18">
        <v>0</v>
      </c>
      <c r="AI48" s="18" t="s">
        <v>85</v>
      </c>
      <c r="AK48">
        <v>13.1591</v>
      </c>
      <c r="AL48">
        <v>27.8325088666667</v>
      </c>
      <c r="AM48">
        <f t="shared" si="1"/>
        <v>14.6734088666667</v>
      </c>
      <c r="AN48">
        <v>32.070417572977099</v>
      </c>
      <c r="AO48">
        <v>21.176470588235201</v>
      </c>
      <c r="AP48" s="10" t="s">
        <v>81</v>
      </c>
    </row>
    <row r="49" spans="1:42" ht="57.75" customHeight="1">
      <c r="B49">
        <f t="shared" si="0"/>
        <v>1</v>
      </c>
      <c r="C49" s="19" t="s">
        <v>86</v>
      </c>
      <c r="D49" t="s">
        <v>87</v>
      </c>
      <c r="E49" s="17">
        <v>61.537999999999997</v>
      </c>
      <c r="F49">
        <v>13</v>
      </c>
      <c r="G49">
        <v>5</v>
      </c>
      <c r="H49">
        <v>0</v>
      </c>
      <c r="I49">
        <v>6</v>
      </c>
      <c r="J49">
        <v>18</v>
      </c>
      <c r="K49">
        <v>28</v>
      </c>
      <c r="L49">
        <v>40</v>
      </c>
      <c r="M49">
        <v>2.6</v>
      </c>
      <c r="N49">
        <v>22.3</v>
      </c>
      <c r="O49" t="s">
        <v>88</v>
      </c>
      <c r="P49" t="s">
        <v>89</v>
      </c>
      <c r="Q49" s="18">
        <v>44259.7</v>
      </c>
      <c r="R49" s="18">
        <v>35181.800000000003</v>
      </c>
      <c r="S49" s="18">
        <v>0</v>
      </c>
      <c r="T49" s="18">
        <v>52508.9</v>
      </c>
      <c r="U49" s="18">
        <v>42829.5</v>
      </c>
      <c r="V49" s="18">
        <v>50450.6</v>
      </c>
      <c r="W49" s="18">
        <v>56425.2</v>
      </c>
      <c r="X49" s="18">
        <v>54589.1</v>
      </c>
      <c r="Y49" s="18">
        <v>87008.7</v>
      </c>
      <c r="Z49" s="18">
        <v>133175</v>
      </c>
      <c r="AA49" s="18">
        <v>139019</v>
      </c>
      <c r="AB49" s="18">
        <v>195460</v>
      </c>
      <c r="AC49" s="18">
        <v>87965.6</v>
      </c>
      <c r="AD49" s="18">
        <v>102082</v>
      </c>
      <c r="AE49" s="18">
        <v>114402</v>
      </c>
      <c r="AF49" s="18">
        <v>0</v>
      </c>
      <c r="AG49" s="18">
        <v>0</v>
      </c>
      <c r="AH49" s="18">
        <v>0</v>
      </c>
      <c r="AI49" s="18" t="s">
        <v>85</v>
      </c>
      <c r="AK49">
        <v>21.9834</v>
      </c>
      <c r="AL49">
        <v>22.052501533333299</v>
      </c>
      <c r="AM49">
        <f t="shared" si="1"/>
        <v>6.9101533333299159E-2</v>
      </c>
      <c r="AN49">
        <v>20.723051900896799</v>
      </c>
      <c r="AO49">
        <v>0.38333333333333303</v>
      </c>
      <c r="AP49" s="19" t="s">
        <v>86</v>
      </c>
    </row>
    <row r="50" spans="1:42" ht="57.75" customHeight="1">
      <c r="A50">
        <v>1</v>
      </c>
      <c r="B50">
        <f t="shared" si="0"/>
        <v>0</v>
      </c>
      <c r="C50" s="19" t="s">
        <v>90</v>
      </c>
      <c r="D50" t="s">
        <v>91</v>
      </c>
      <c r="E50" s="17">
        <v>80</v>
      </c>
      <c r="F50">
        <v>10</v>
      </c>
      <c r="G50">
        <v>2</v>
      </c>
      <c r="H50">
        <v>0</v>
      </c>
      <c r="I50">
        <v>3</v>
      </c>
      <c r="J50">
        <v>12</v>
      </c>
      <c r="K50">
        <v>536</v>
      </c>
      <c r="L50">
        <v>545</v>
      </c>
      <c r="M50">
        <v>3.5</v>
      </c>
      <c r="N50">
        <v>21.6</v>
      </c>
      <c r="O50" t="s">
        <v>92</v>
      </c>
      <c r="P50" t="s">
        <v>93</v>
      </c>
      <c r="Q50" s="6">
        <v>41501.699999999997</v>
      </c>
      <c r="R50" s="6">
        <v>36715.9</v>
      </c>
      <c r="S50" s="6">
        <v>40502.699999999997</v>
      </c>
      <c r="T50" s="6">
        <v>139006</v>
      </c>
      <c r="U50" s="6">
        <v>87610.7</v>
      </c>
      <c r="V50" s="6">
        <v>61381.8</v>
      </c>
      <c r="W50" s="6">
        <v>71470.899999999994</v>
      </c>
      <c r="X50" s="6">
        <v>87322.6</v>
      </c>
      <c r="Y50" s="6">
        <v>70752.7</v>
      </c>
      <c r="Z50" s="6">
        <v>63817.599999999999</v>
      </c>
      <c r="AA50" s="6">
        <v>64666.8</v>
      </c>
      <c r="AB50" s="6">
        <v>28532.5</v>
      </c>
      <c r="AC50" s="6">
        <v>36286.6</v>
      </c>
      <c r="AD50" s="6">
        <v>0</v>
      </c>
      <c r="AE50" s="6">
        <v>64165.3</v>
      </c>
      <c r="AF50" s="6">
        <v>0</v>
      </c>
      <c r="AG50" s="6">
        <v>0</v>
      </c>
      <c r="AH50" s="6">
        <v>0</v>
      </c>
      <c r="AI50" s="6" t="s">
        <v>94</v>
      </c>
      <c r="AK50">
        <v>6.6307999999999998</v>
      </c>
      <c r="AL50">
        <v>22.185536933333299</v>
      </c>
      <c r="AM50">
        <f t="shared" si="1"/>
        <v>15.554736933333299</v>
      </c>
      <c r="AN50">
        <v>21.4990718523973</v>
      </c>
      <c r="AO50">
        <v>7.1428571428571397E-2</v>
      </c>
      <c r="AP50" s="19" t="s">
        <v>90</v>
      </c>
    </row>
    <row r="51" spans="1:42" ht="57.75" customHeight="1">
      <c r="B51">
        <f t="shared" si="0"/>
        <v>1</v>
      </c>
      <c r="C51" s="19" t="s">
        <v>95</v>
      </c>
      <c r="D51" t="s">
        <v>91</v>
      </c>
      <c r="E51" s="17">
        <v>80</v>
      </c>
      <c r="F51">
        <v>10</v>
      </c>
      <c r="G51">
        <v>2</v>
      </c>
      <c r="H51">
        <v>0</v>
      </c>
      <c r="I51">
        <v>2</v>
      </c>
      <c r="J51">
        <v>11</v>
      </c>
      <c r="K51">
        <v>536</v>
      </c>
      <c r="L51">
        <v>545</v>
      </c>
      <c r="M51">
        <v>3.7</v>
      </c>
      <c r="N51">
        <v>21.6</v>
      </c>
      <c r="O51" t="s">
        <v>92</v>
      </c>
      <c r="P51" t="s">
        <v>93</v>
      </c>
      <c r="Q51" s="6">
        <v>0</v>
      </c>
      <c r="R51" s="6">
        <v>0</v>
      </c>
      <c r="S51" s="6">
        <v>9152.2000000000007</v>
      </c>
      <c r="T51" s="6">
        <v>5908.66</v>
      </c>
      <c r="U51" s="6">
        <v>14233.3</v>
      </c>
      <c r="V51" s="6">
        <v>4808.84</v>
      </c>
      <c r="W51" s="6">
        <v>8997.4500000000007</v>
      </c>
      <c r="X51" s="6">
        <v>9038.92</v>
      </c>
      <c r="Y51" s="6">
        <v>7898.08</v>
      </c>
      <c r="Z51" s="6">
        <v>0</v>
      </c>
      <c r="AA51" s="6">
        <v>24254.3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 t="s">
        <v>94</v>
      </c>
      <c r="AK51">
        <v>7.3950100000000001</v>
      </c>
      <c r="AL51">
        <v>7.3950093333333298</v>
      </c>
      <c r="AM51">
        <f t="shared" si="1"/>
        <v>6.6666667031256566E-7</v>
      </c>
      <c r="AN51">
        <v>16.4915487161099</v>
      </c>
      <c r="AO51">
        <v>0.70769230769230695</v>
      </c>
      <c r="AP51" s="19" t="s">
        <v>95</v>
      </c>
    </row>
    <row r="52" spans="1:42" ht="57.75" customHeight="1">
      <c r="B52">
        <f t="shared" si="0"/>
        <v>0</v>
      </c>
      <c r="C52" s="19" t="s">
        <v>96</v>
      </c>
      <c r="D52" t="s">
        <v>70</v>
      </c>
      <c r="E52" s="17">
        <v>88</v>
      </c>
      <c r="F52">
        <v>25</v>
      </c>
      <c r="G52">
        <v>3</v>
      </c>
      <c r="H52">
        <v>0</v>
      </c>
      <c r="I52">
        <v>1</v>
      </c>
      <c r="J52">
        <v>25</v>
      </c>
      <c r="K52">
        <v>58</v>
      </c>
      <c r="L52">
        <v>82</v>
      </c>
      <c r="M52" s="1">
        <v>1.43E-10</v>
      </c>
      <c r="N52">
        <v>50.1</v>
      </c>
      <c r="O52" t="s">
        <v>96</v>
      </c>
      <c r="P52" t="s">
        <v>97</v>
      </c>
      <c r="Q52">
        <v>0</v>
      </c>
      <c r="R52">
        <v>0</v>
      </c>
      <c r="S52">
        <v>0</v>
      </c>
      <c r="T52">
        <v>0</v>
      </c>
      <c r="U52">
        <v>5577.23</v>
      </c>
      <c r="V52">
        <v>0</v>
      </c>
      <c r="W52">
        <v>0</v>
      </c>
      <c r="X52">
        <v>2722.57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132721</v>
      </c>
      <c r="AE52">
        <v>13813.8</v>
      </c>
      <c r="AF52">
        <v>67649.2</v>
      </c>
      <c r="AG52">
        <v>0</v>
      </c>
      <c r="AH52">
        <v>0</v>
      </c>
      <c r="AI52" t="s">
        <v>98</v>
      </c>
      <c r="AK52">
        <v>22.913</v>
      </c>
      <c r="AL52">
        <v>25.859341733333299</v>
      </c>
      <c r="AM52">
        <f t="shared" si="1"/>
        <v>2.9463417333332984</v>
      </c>
      <c r="AN52">
        <v>42.3979440147872</v>
      </c>
      <c r="AO52">
        <v>8.1120000000000001</v>
      </c>
      <c r="AP52" s="19" t="s">
        <v>96</v>
      </c>
    </row>
    <row r="53" spans="1:42" ht="57.75" customHeight="1">
      <c r="B53">
        <f t="shared" si="0"/>
        <v>0</v>
      </c>
      <c r="C53" s="19" t="s">
        <v>99</v>
      </c>
      <c r="D53" t="s">
        <v>100</v>
      </c>
      <c r="E53" s="17">
        <v>91.667000000000002</v>
      </c>
      <c r="F53">
        <v>12</v>
      </c>
      <c r="G53">
        <v>1</v>
      </c>
      <c r="H53">
        <v>0</v>
      </c>
      <c r="I53">
        <v>1</v>
      </c>
      <c r="J53">
        <v>12</v>
      </c>
      <c r="K53">
        <v>76</v>
      </c>
      <c r="L53">
        <v>87</v>
      </c>
      <c r="M53">
        <v>4.2999999999999997E-2</v>
      </c>
      <c r="N53">
        <v>26.9</v>
      </c>
      <c r="O53" t="s">
        <v>99</v>
      </c>
      <c r="P53" t="s">
        <v>101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31911.599999999999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102</v>
      </c>
      <c r="AK53">
        <v>21.2636</v>
      </c>
      <c r="AL53">
        <v>22.7960061333333</v>
      </c>
      <c r="AM53">
        <f t="shared" si="1"/>
        <v>1.5324061333332999</v>
      </c>
      <c r="AN53">
        <v>17.656639703127802</v>
      </c>
      <c r="AO53">
        <v>0.73749999999999905</v>
      </c>
      <c r="AP53" s="19" t="s">
        <v>99</v>
      </c>
    </row>
    <row r="54" spans="1:42" ht="57.75" customHeight="1">
      <c r="B54">
        <f t="shared" si="0"/>
        <v>0</v>
      </c>
      <c r="C54" s="19" t="s">
        <v>103</v>
      </c>
      <c r="D54" t="s">
        <v>104</v>
      </c>
      <c r="E54" s="17">
        <v>50</v>
      </c>
      <c r="F54">
        <v>16</v>
      </c>
      <c r="G54">
        <v>8</v>
      </c>
      <c r="H54">
        <v>0</v>
      </c>
      <c r="I54">
        <v>3</v>
      </c>
      <c r="J54">
        <v>18</v>
      </c>
      <c r="K54">
        <v>1112</v>
      </c>
      <c r="L54">
        <v>1127</v>
      </c>
      <c r="M54">
        <v>2.2999999999999998</v>
      </c>
      <c r="N54">
        <v>22.7</v>
      </c>
      <c r="O54" t="s">
        <v>105</v>
      </c>
      <c r="P54" t="s">
        <v>106</v>
      </c>
      <c r="Q54">
        <v>0</v>
      </c>
      <c r="R54">
        <v>63475.5</v>
      </c>
      <c r="S54">
        <v>35416.400000000001</v>
      </c>
      <c r="T54">
        <v>80373.899999999994</v>
      </c>
      <c r="U54">
        <v>101491</v>
      </c>
      <c r="V54">
        <v>53193.5</v>
      </c>
      <c r="W54">
        <v>75829.5</v>
      </c>
      <c r="X54">
        <v>94324.1</v>
      </c>
      <c r="Y54">
        <v>83210.100000000006</v>
      </c>
      <c r="Z54">
        <v>0</v>
      </c>
      <c r="AA54">
        <v>48882.6</v>
      </c>
      <c r="AB54">
        <v>0</v>
      </c>
      <c r="AC54">
        <v>0</v>
      </c>
      <c r="AD54">
        <v>34474.400000000001</v>
      </c>
      <c r="AE54">
        <v>0</v>
      </c>
      <c r="AF54">
        <v>0</v>
      </c>
      <c r="AG54">
        <v>56730.8</v>
      </c>
      <c r="AH54">
        <v>146935</v>
      </c>
      <c r="AI54" t="s">
        <v>107</v>
      </c>
      <c r="AK54">
        <v>20.898700000000002</v>
      </c>
      <c r="AL54">
        <v>21.043383200000001</v>
      </c>
      <c r="AM54">
        <f t="shared" si="1"/>
        <v>0.14468319999999935</v>
      </c>
      <c r="AN54">
        <v>28.115239530295302</v>
      </c>
      <c r="AO54">
        <v>4.4000000000000004</v>
      </c>
      <c r="AP54" s="19" t="s">
        <v>103</v>
      </c>
    </row>
    <row r="55" spans="1:42" ht="57.75" customHeight="1">
      <c r="B55">
        <f t="shared" si="0"/>
        <v>0</v>
      </c>
      <c r="C55" s="19" t="s">
        <v>108</v>
      </c>
      <c r="D55" t="s">
        <v>109</v>
      </c>
      <c r="E55" s="17">
        <v>91.667000000000002</v>
      </c>
      <c r="F55">
        <v>12</v>
      </c>
      <c r="G55">
        <v>1</v>
      </c>
      <c r="H55">
        <v>0</v>
      </c>
      <c r="I55">
        <v>1</v>
      </c>
      <c r="J55">
        <v>12</v>
      </c>
      <c r="K55">
        <v>174</v>
      </c>
      <c r="L55">
        <v>185</v>
      </c>
      <c r="M55">
        <v>0.11</v>
      </c>
      <c r="N55">
        <v>25.8</v>
      </c>
      <c r="O55" t="s">
        <v>108</v>
      </c>
      <c r="P55" t="s">
        <v>110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40646.400000000001</v>
      </c>
      <c r="X55">
        <v>54293.3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111</v>
      </c>
      <c r="AK55">
        <v>20.167899999999999</v>
      </c>
      <c r="AL55">
        <v>16.152443000000002</v>
      </c>
      <c r="AM55">
        <f t="shared" si="1"/>
        <v>4.0154569999999978</v>
      </c>
      <c r="AN55">
        <v>21.1578723388429</v>
      </c>
      <c r="AO55">
        <v>0.72916666666666596</v>
      </c>
      <c r="AP55" s="19" t="s">
        <v>108</v>
      </c>
    </row>
    <row r="56" spans="1:42" ht="57.75" customHeight="1">
      <c r="B56">
        <f t="shared" si="0"/>
        <v>0</v>
      </c>
      <c r="C56" s="19" t="s">
        <v>112</v>
      </c>
      <c r="D56" t="s">
        <v>62</v>
      </c>
      <c r="E56" s="17">
        <v>89.474000000000004</v>
      </c>
      <c r="F56">
        <v>19</v>
      </c>
      <c r="G56">
        <v>2</v>
      </c>
      <c r="H56">
        <v>0</v>
      </c>
      <c r="I56">
        <v>1</v>
      </c>
      <c r="J56">
        <v>19</v>
      </c>
      <c r="K56">
        <v>128</v>
      </c>
      <c r="L56">
        <v>146</v>
      </c>
      <c r="M56" s="1">
        <v>3.54E-6</v>
      </c>
      <c r="N56">
        <v>38.5</v>
      </c>
      <c r="O56" t="s">
        <v>112</v>
      </c>
      <c r="P56" t="s">
        <v>113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36238.1</v>
      </c>
      <c r="X56">
        <v>0</v>
      </c>
      <c r="Y56">
        <v>53242.9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114</v>
      </c>
      <c r="AK56">
        <v>17.4846</v>
      </c>
      <c r="AL56">
        <v>25.946058733333299</v>
      </c>
      <c r="AM56">
        <f t="shared" si="1"/>
        <v>8.4614587333332985</v>
      </c>
      <c r="AN56">
        <v>34.5523495384884</v>
      </c>
      <c r="AO56">
        <v>15.3947368421052</v>
      </c>
      <c r="AP56" s="19" t="s">
        <v>112</v>
      </c>
    </row>
    <row r="57" spans="1:42" ht="57.75" customHeight="1">
      <c r="B57">
        <f t="shared" si="0"/>
        <v>0</v>
      </c>
      <c r="C57" s="19" t="s">
        <v>115</v>
      </c>
      <c r="D57" t="s">
        <v>116</v>
      </c>
      <c r="E57" s="17">
        <v>92.856999999999999</v>
      </c>
      <c r="F57">
        <v>14</v>
      </c>
      <c r="G57">
        <v>1</v>
      </c>
      <c r="H57">
        <v>0</v>
      </c>
      <c r="I57">
        <v>1</v>
      </c>
      <c r="J57">
        <v>14</v>
      </c>
      <c r="K57">
        <v>308</v>
      </c>
      <c r="L57">
        <v>321</v>
      </c>
      <c r="M57" s="1">
        <v>2.6400000000000001E-5</v>
      </c>
      <c r="N57">
        <v>36.200000000000003</v>
      </c>
      <c r="O57" t="s">
        <v>115</v>
      </c>
      <c r="P57" t="s">
        <v>117</v>
      </c>
      <c r="Q57">
        <v>15000000</v>
      </c>
      <c r="R57">
        <v>12400000</v>
      </c>
      <c r="S57">
        <v>7000000</v>
      </c>
      <c r="T57">
        <v>4890000</v>
      </c>
      <c r="U57">
        <v>5070000</v>
      </c>
      <c r="V57">
        <v>4460000</v>
      </c>
      <c r="W57">
        <v>2700000</v>
      </c>
      <c r="X57">
        <v>2410000</v>
      </c>
      <c r="Y57">
        <v>1330000</v>
      </c>
      <c r="Z57">
        <v>4830000</v>
      </c>
      <c r="AA57">
        <v>2290000</v>
      </c>
      <c r="AB57">
        <v>3330000</v>
      </c>
      <c r="AC57">
        <v>2750000</v>
      </c>
      <c r="AD57">
        <v>1660000</v>
      </c>
      <c r="AE57">
        <v>1240000</v>
      </c>
      <c r="AF57">
        <v>3440000</v>
      </c>
      <c r="AG57">
        <v>2130000</v>
      </c>
      <c r="AH57">
        <v>1470000</v>
      </c>
      <c r="AI57" t="s">
        <v>118</v>
      </c>
      <c r="AK57">
        <v>22.115100000000002</v>
      </c>
      <c r="AL57">
        <v>22.1811474</v>
      </c>
      <c r="AM57">
        <f t="shared" si="1"/>
        <v>6.6047399999998646E-2</v>
      </c>
      <c r="AN57">
        <v>32.277156118891703</v>
      </c>
      <c r="AO57">
        <v>35.485714285714202</v>
      </c>
      <c r="AP57" s="19" t="s">
        <v>115</v>
      </c>
    </row>
    <row r="58" spans="1:42" ht="57.75" customHeight="1">
      <c r="B58">
        <f t="shared" si="0"/>
        <v>0</v>
      </c>
      <c r="C58" s="19" t="s">
        <v>119</v>
      </c>
      <c r="D58" t="s">
        <v>120</v>
      </c>
      <c r="E58" s="17">
        <v>94.117999999999995</v>
      </c>
      <c r="F58">
        <v>17</v>
      </c>
      <c r="G58">
        <v>1</v>
      </c>
      <c r="H58">
        <v>0</v>
      </c>
      <c r="I58">
        <v>1</v>
      </c>
      <c r="J58">
        <v>17</v>
      </c>
      <c r="K58">
        <v>274</v>
      </c>
      <c r="L58">
        <v>290</v>
      </c>
      <c r="M58" s="1">
        <v>2.41E-4</v>
      </c>
      <c r="N58">
        <v>33.9</v>
      </c>
      <c r="O58" t="s">
        <v>119</v>
      </c>
      <c r="P58" t="s">
        <v>121</v>
      </c>
      <c r="Q58">
        <v>0</v>
      </c>
      <c r="R58">
        <v>0</v>
      </c>
      <c r="S58">
        <v>0</v>
      </c>
      <c r="T58">
        <v>0</v>
      </c>
      <c r="U58">
        <v>0</v>
      </c>
      <c r="V58">
        <v>55872.800000000003</v>
      </c>
      <c r="W58">
        <v>0</v>
      </c>
      <c r="X58">
        <v>0</v>
      </c>
      <c r="Y58">
        <v>10393.4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122</v>
      </c>
      <c r="AK58">
        <v>23.7667</v>
      </c>
      <c r="AL58">
        <v>23.7480364</v>
      </c>
      <c r="AM58">
        <f t="shared" si="1"/>
        <v>1.8663600000000002E-2</v>
      </c>
      <c r="AN58">
        <v>26.133857048730999</v>
      </c>
      <c r="AO58">
        <v>15.75</v>
      </c>
      <c r="AP58" s="19" t="s">
        <v>119</v>
      </c>
    </row>
    <row r="59" spans="1:42" ht="57.75" customHeight="1">
      <c r="B59">
        <f t="shared" si="0"/>
        <v>0</v>
      </c>
      <c r="C59" s="19" t="s">
        <v>123</v>
      </c>
      <c r="D59" t="s">
        <v>124</v>
      </c>
      <c r="E59" s="17">
        <v>47.058999999999997</v>
      </c>
      <c r="F59">
        <v>17</v>
      </c>
      <c r="G59">
        <v>9</v>
      </c>
      <c r="H59">
        <v>0</v>
      </c>
      <c r="I59">
        <v>5</v>
      </c>
      <c r="J59">
        <v>21</v>
      </c>
      <c r="K59">
        <v>1448</v>
      </c>
      <c r="L59">
        <v>1464</v>
      </c>
      <c r="M59">
        <v>6</v>
      </c>
      <c r="N59">
        <v>21.6</v>
      </c>
      <c r="O59" t="s">
        <v>125</v>
      </c>
      <c r="P59" t="s">
        <v>126</v>
      </c>
      <c r="Q59" s="6">
        <v>0</v>
      </c>
      <c r="R59" s="6">
        <v>0</v>
      </c>
      <c r="S59" s="6">
        <v>0</v>
      </c>
      <c r="T59" s="6">
        <v>45812.4</v>
      </c>
      <c r="U59" s="6">
        <v>0</v>
      </c>
      <c r="V59" s="6">
        <v>42960.7</v>
      </c>
      <c r="W59" s="6">
        <v>37746.800000000003</v>
      </c>
      <c r="X59" s="6">
        <v>41864.800000000003</v>
      </c>
      <c r="Y59" s="6">
        <v>66476</v>
      </c>
      <c r="Z59" s="6">
        <v>0</v>
      </c>
      <c r="AA59" s="6">
        <v>0</v>
      </c>
      <c r="AB59" s="6">
        <v>0</v>
      </c>
      <c r="AC59" s="6">
        <v>50225.9</v>
      </c>
      <c r="AD59" s="6">
        <v>0</v>
      </c>
      <c r="AE59" s="6">
        <v>83717.399999999994</v>
      </c>
      <c r="AF59" s="6">
        <v>69680.899999999994</v>
      </c>
      <c r="AG59" s="6">
        <v>64186</v>
      </c>
      <c r="AH59" s="6">
        <v>72567.8</v>
      </c>
      <c r="AI59" s="6" t="s">
        <v>127</v>
      </c>
      <c r="AK59">
        <v>23.851099999999999</v>
      </c>
      <c r="AL59">
        <v>25.2855274666667</v>
      </c>
      <c r="AM59">
        <f t="shared" si="1"/>
        <v>1.4344274666667012</v>
      </c>
      <c r="AN59">
        <v>24.977679695772501</v>
      </c>
      <c r="AO59">
        <v>2.5714285714285698</v>
      </c>
      <c r="AP59" s="19" t="s">
        <v>123</v>
      </c>
    </row>
    <row r="60" spans="1:42" ht="57.75" customHeight="1">
      <c r="B60">
        <f t="shared" si="0"/>
        <v>1</v>
      </c>
      <c r="C60" s="19" t="s">
        <v>128</v>
      </c>
      <c r="D60" t="s">
        <v>129</v>
      </c>
      <c r="E60" s="17">
        <v>38.889000000000003</v>
      </c>
      <c r="F60">
        <v>18</v>
      </c>
      <c r="G60">
        <v>11</v>
      </c>
      <c r="H60">
        <v>0</v>
      </c>
      <c r="I60">
        <v>1</v>
      </c>
      <c r="J60">
        <v>18</v>
      </c>
      <c r="K60">
        <v>494</v>
      </c>
      <c r="L60">
        <v>511</v>
      </c>
      <c r="M60">
        <v>4.0999999999999996</v>
      </c>
      <c r="N60">
        <v>21.9</v>
      </c>
      <c r="O60" t="s">
        <v>128</v>
      </c>
      <c r="P60" t="s">
        <v>130</v>
      </c>
      <c r="Q60" s="6">
        <v>76469.399999999994</v>
      </c>
      <c r="R60" s="6">
        <v>103426</v>
      </c>
      <c r="S60" s="6">
        <v>98169</v>
      </c>
      <c r="T60" s="6">
        <v>182769</v>
      </c>
      <c r="U60" s="6">
        <v>187220</v>
      </c>
      <c r="V60" s="6">
        <v>181236</v>
      </c>
      <c r="W60" s="6">
        <v>221088</v>
      </c>
      <c r="X60" s="6">
        <v>175002</v>
      </c>
      <c r="Y60" s="6">
        <v>159287</v>
      </c>
      <c r="Z60" s="6">
        <v>113754</v>
      </c>
      <c r="AA60" s="6">
        <v>130747</v>
      </c>
      <c r="AB60" s="6">
        <v>62363.9</v>
      </c>
      <c r="AC60" s="6">
        <v>161151</v>
      </c>
      <c r="AD60" s="6">
        <v>198627</v>
      </c>
      <c r="AE60" s="6">
        <v>141595</v>
      </c>
      <c r="AF60" s="6">
        <v>157712</v>
      </c>
      <c r="AG60" s="6">
        <v>212832</v>
      </c>
      <c r="AH60" s="6">
        <v>202053</v>
      </c>
      <c r="AI60" s="6" t="s">
        <v>127</v>
      </c>
      <c r="AK60">
        <v>19.2761</v>
      </c>
      <c r="AL60">
        <v>21.468726799999999</v>
      </c>
      <c r="AM60">
        <f t="shared" si="1"/>
        <v>2.1926267999999993</v>
      </c>
      <c r="AN60">
        <v>27.235558798310301</v>
      </c>
      <c r="AO60">
        <v>13.375</v>
      </c>
      <c r="AP60" s="19" t="s">
        <v>128</v>
      </c>
    </row>
    <row r="61" spans="1:42" ht="57.75" customHeight="1">
      <c r="B61">
        <f t="shared" si="0"/>
        <v>0</v>
      </c>
      <c r="C61" s="19" t="s">
        <v>131</v>
      </c>
      <c r="D61" t="s">
        <v>132</v>
      </c>
      <c r="E61" s="17">
        <v>76.923000000000002</v>
      </c>
      <c r="F61">
        <v>13</v>
      </c>
      <c r="G61">
        <v>3</v>
      </c>
      <c r="H61">
        <v>0</v>
      </c>
      <c r="I61">
        <v>1</v>
      </c>
      <c r="J61">
        <v>13</v>
      </c>
      <c r="K61">
        <v>70</v>
      </c>
      <c r="L61">
        <v>82</v>
      </c>
      <c r="M61">
        <v>9.4E-2</v>
      </c>
      <c r="N61">
        <v>26.2</v>
      </c>
      <c r="O61" t="s">
        <v>131</v>
      </c>
      <c r="P61" t="s">
        <v>133</v>
      </c>
      <c r="Q61">
        <v>169780</v>
      </c>
      <c r="R61">
        <v>103799</v>
      </c>
      <c r="S61">
        <v>125705</v>
      </c>
      <c r="T61">
        <v>122189</v>
      </c>
      <c r="U61">
        <v>0</v>
      </c>
      <c r="V61">
        <v>64912.6</v>
      </c>
      <c r="W61">
        <v>113985</v>
      </c>
      <c r="X61">
        <v>125515</v>
      </c>
      <c r="Y61">
        <v>112181</v>
      </c>
      <c r="Z61">
        <v>0</v>
      </c>
      <c r="AA61">
        <v>255799</v>
      </c>
      <c r="AB61">
        <v>0</v>
      </c>
      <c r="AC61">
        <v>190676</v>
      </c>
      <c r="AD61">
        <v>287406</v>
      </c>
      <c r="AE61">
        <v>0</v>
      </c>
      <c r="AF61">
        <v>362884</v>
      </c>
      <c r="AG61">
        <v>343326</v>
      </c>
      <c r="AH61">
        <v>400230</v>
      </c>
      <c r="AI61" t="s">
        <v>134</v>
      </c>
      <c r="AK61">
        <v>9.4660700000000002</v>
      </c>
      <c r="AL61">
        <v>28.2077676</v>
      </c>
      <c r="AM61">
        <f t="shared" si="1"/>
        <v>18.741697600000002</v>
      </c>
      <c r="AN61">
        <v>19.149713745118099</v>
      </c>
      <c r="AO61">
        <v>4.89230769230769</v>
      </c>
      <c r="AP61" s="19" t="s">
        <v>131</v>
      </c>
    </row>
    <row r="62" spans="1:42" ht="57.75" customHeight="1">
      <c r="B62">
        <f t="shared" si="0"/>
        <v>0</v>
      </c>
      <c r="C62" s="19" t="s">
        <v>135</v>
      </c>
      <c r="D62" t="s">
        <v>136</v>
      </c>
      <c r="E62" s="17">
        <v>80</v>
      </c>
      <c r="F62">
        <v>15</v>
      </c>
      <c r="G62">
        <v>3</v>
      </c>
      <c r="H62">
        <v>0</v>
      </c>
      <c r="I62">
        <v>1</v>
      </c>
      <c r="J62">
        <v>15</v>
      </c>
      <c r="K62">
        <v>58</v>
      </c>
      <c r="L62">
        <v>72</v>
      </c>
      <c r="M62">
        <v>1.4E-2</v>
      </c>
      <c r="N62">
        <v>28.5</v>
      </c>
      <c r="O62" t="s">
        <v>135</v>
      </c>
      <c r="P62" t="s">
        <v>137</v>
      </c>
      <c r="Q62" s="6">
        <v>0</v>
      </c>
      <c r="R62" s="6">
        <v>0</v>
      </c>
      <c r="S62" s="6">
        <v>0</v>
      </c>
      <c r="T62" s="6">
        <v>106275</v>
      </c>
      <c r="U62" s="6">
        <v>136208</v>
      </c>
      <c r="V62" s="6">
        <v>75022.7</v>
      </c>
      <c r="W62" s="6">
        <v>66562.399999999994</v>
      </c>
      <c r="X62" s="6">
        <v>129175</v>
      </c>
      <c r="Y62" s="6">
        <v>81918.600000000006</v>
      </c>
      <c r="Z62" s="6">
        <v>86651.6</v>
      </c>
      <c r="AA62" s="6">
        <v>118044</v>
      </c>
      <c r="AB62" s="6">
        <v>134460</v>
      </c>
      <c r="AC62" s="6">
        <v>128893</v>
      </c>
      <c r="AD62" s="6">
        <v>163800</v>
      </c>
      <c r="AE62" s="6">
        <v>131264</v>
      </c>
      <c r="AF62" s="6">
        <v>246054</v>
      </c>
      <c r="AG62" s="6">
        <v>273998</v>
      </c>
      <c r="AH62" s="6">
        <v>213214</v>
      </c>
      <c r="AI62" s="6" t="s">
        <v>138</v>
      </c>
      <c r="AK62">
        <v>18.190000000000001</v>
      </c>
      <c r="AL62">
        <v>23.642222133333298</v>
      </c>
      <c r="AM62">
        <f t="shared" si="1"/>
        <v>5.4522221333332972</v>
      </c>
      <c r="AN62">
        <v>19.577203253855199</v>
      </c>
      <c r="AO62">
        <v>5.78666666666666</v>
      </c>
      <c r="AP62" s="19" t="s">
        <v>135</v>
      </c>
    </row>
    <row r="63" spans="1:42" ht="57.75" customHeight="1">
      <c r="B63">
        <f t="shared" si="0"/>
        <v>1</v>
      </c>
      <c r="C63" s="19" t="s">
        <v>139</v>
      </c>
      <c r="D63" t="s">
        <v>140</v>
      </c>
      <c r="E63" s="17">
        <v>80</v>
      </c>
      <c r="F63">
        <v>10</v>
      </c>
      <c r="G63">
        <v>2</v>
      </c>
      <c r="H63">
        <v>0</v>
      </c>
      <c r="I63">
        <v>2</v>
      </c>
      <c r="J63">
        <v>11</v>
      </c>
      <c r="K63">
        <v>73</v>
      </c>
      <c r="L63">
        <v>82</v>
      </c>
      <c r="M63">
        <v>3.8</v>
      </c>
      <c r="N63">
        <v>21.6</v>
      </c>
      <c r="O63" t="s">
        <v>141</v>
      </c>
      <c r="P63" t="s">
        <v>142</v>
      </c>
      <c r="Q63" s="6">
        <v>322000000</v>
      </c>
      <c r="R63" s="6">
        <v>263000000</v>
      </c>
      <c r="S63" s="6">
        <v>253000000</v>
      </c>
      <c r="T63" s="6">
        <v>317000000</v>
      </c>
      <c r="U63" s="6">
        <v>318000000</v>
      </c>
      <c r="V63" s="6">
        <v>300000000</v>
      </c>
      <c r="W63" s="6">
        <v>283000000</v>
      </c>
      <c r="X63" s="6">
        <v>281000000</v>
      </c>
      <c r="Y63" s="6">
        <v>272000000</v>
      </c>
      <c r="Z63" s="6">
        <v>990000000</v>
      </c>
      <c r="AA63" s="6">
        <v>777000000</v>
      </c>
      <c r="AB63" s="6">
        <v>670000000</v>
      </c>
      <c r="AC63" s="6">
        <v>531000000</v>
      </c>
      <c r="AD63" s="6">
        <v>796000000</v>
      </c>
      <c r="AE63" s="6">
        <v>691000000</v>
      </c>
      <c r="AF63" s="6">
        <v>494000000</v>
      </c>
      <c r="AG63" s="6">
        <v>551000000</v>
      </c>
      <c r="AH63" s="6">
        <v>508000000</v>
      </c>
      <c r="AI63" s="6" t="s">
        <v>138</v>
      </c>
      <c r="AK63">
        <v>10.532999999999999</v>
      </c>
      <c r="AL63">
        <v>10.650228666666701</v>
      </c>
      <c r="AM63">
        <f t="shared" si="1"/>
        <v>0.11722866666670129</v>
      </c>
      <c r="AN63">
        <v>30.772152327624699</v>
      </c>
      <c r="AO63">
        <v>29.113636363636299</v>
      </c>
      <c r="AP63" s="19" t="s">
        <v>139</v>
      </c>
    </row>
    <row r="64" spans="1:42" ht="57.75" customHeight="1">
      <c r="A64">
        <v>1</v>
      </c>
      <c r="B64">
        <f t="shared" si="0"/>
        <v>1</v>
      </c>
      <c r="C64" s="19" t="s">
        <v>143</v>
      </c>
      <c r="D64" t="s">
        <v>144</v>
      </c>
      <c r="E64" s="17">
        <v>80</v>
      </c>
      <c r="F64">
        <v>10</v>
      </c>
      <c r="G64">
        <v>2</v>
      </c>
      <c r="H64">
        <v>0</v>
      </c>
      <c r="I64">
        <v>3</v>
      </c>
      <c r="J64">
        <v>12</v>
      </c>
      <c r="K64">
        <v>517</v>
      </c>
      <c r="L64">
        <v>526</v>
      </c>
      <c r="M64">
        <v>3.3</v>
      </c>
      <c r="N64">
        <v>21.6</v>
      </c>
      <c r="O64" t="s">
        <v>145</v>
      </c>
      <c r="P64" t="s">
        <v>146</v>
      </c>
      <c r="Q64" s="6">
        <v>277461</v>
      </c>
      <c r="R64" s="6">
        <v>392503</v>
      </c>
      <c r="S64" s="6">
        <v>52270.5</v>
      </c>
      <c r="T64" s="6">
        <v>468627</v>
      </c>
      <c r="U64" s="6">
        <v>206872</v>
      </c>
      <c r="V64" s="6">
        <v>237725</v>
      </c>
      <c r="W64" s="6">
        <v>343555</v>
      </c>
      <c r="X64" s="6">
        <v>190206</v>
      </c>
      <c r="Y64" s="6">
        <v>419501</v>
      </c>
      <c r="Z64" s="6">
        <v>701271</v>
      </c>
      <c r="AA64" s="6">
        <v>676372</v>
      </c>
      <c r="AB64" s="6">
        <v>0</v>
      </c>
      <c r="AC64" s="6">
        <v>818653</v>
      </c>
      <c r="AD64" s="6">
        <v>851080</v>
      </c>
      <c r="AE64" s="6">
        <v>790548</v>
      </c>
      <c r="AF64" s="6">
        <v>377402</v>
      </c>
      <c r="AG64" s="6">
        <v>418629</v>
      </c>
      <c r="AH64" s="6">
        <v>1010000</v>
      </c>
      <c r="AI64" s="6" t="s">
        <v>138</v>
      </c>
      <c r="AK64">
        <v>9.3215199999999996</v>
      </c>
      <c r="AL64">
        <v>11.453023200000001</v>
      </c>
      <c r="AM64">
        <f t="shared" si="1"/>
        <v>2.1315032000000009</v>
      </c>
      <c r="AN64">
        <v>14.389251925739201</v>
      </c>
      <c r="AO64">
        <v>3.58333333333333E-2</v>
      </c>
      <c r="AP64" s="19" t="s">
        <v>143</v>
      </c>
    </row>
    <row r="65" spans="1:42" ht="57.75" customHeight="1">
      <c r="B65">
        <f t="shared" si="0"/>
        <v>0</v>
      </c>
      <c r="C65" s="19" t="s">
        <v>147</v>
      </c>
      <c r="D65" t="s">
        <v>148</v>
      </c>
      <c r="E65" s="17">
        <v>92.856999999999999</v>
      </c>
      <c r="F65">
        <v>14</v>
      </c>
      <c r="G65">
        <v>1</v>
      </c>
      <c r="H65">
        <v>0</v>
      </c>
      <c r="I65">
        <v>4</v>
      </c>
      <c r="J65">
        <v>17</v>
      </c>
      <c r="K65">
        <v>264</v>
      </c>
      <c r="L65">
        <v>277</v>
      </c>
      <c r="M65" s="1">
        <v>5.1599999999999997E-4</v>
      </c>
      <c r="N65">
        <v>32.700000000000003</v>
      </c>
      <c r="O65" t="s">
        <v>149</v>
      </c>
      <c r="P65" t="s">
        <v>150</v>
      </c>
      <c r="Q65">
        <v>0</v>
      </c>
      <c r="R65">
        <v>0</v>
      </c>
      <c r="S65">
        <v>0</v>
      </c>
      <c r="T65">
        <v>0</v>
      </c>
      <c r="U65">
        <v>938.91600000000005</v>
      </c>
      <c r="V65">
        <v>0</v>
      </c>
      <c r="W65">
        <v>2473.7199999999998</v>
      </c>
      <c r="X65">
        <v>3529.27</v>
      </c>
      <c r="Y65">
        <v>1773.78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151</v>
      </c>
      <c r="AK65">
        <v>13.3704</v>
      </c>
      <c r="AL65">
        <v>25.968919199999998</v>
      </c>
      <c r="AM65">
        <f t="shared" si="1"/>
        <v>12.598519199999998</v>
      </c>
      <c r="AN65">
        <v>18.757792529876301</v>
      </c>
      <c r="AO65">
        <v>4.1647058823529397</v>
      </c>
      <c r="AP65" s="19" t="s">
        <v>147</v>
      </c>
    </row>
    <row r="66" spans="1:42" ht="57.75" customHeight="1">
      <c r="B66">
        <f t="shared" si="0"/>
        <v>0</v>
      </c>
      <c r="C66" s="19" t="s">
        <v>152</v>
      </c>
      <c r="D66" t="s">
        <v>153</v>
      </c>
      <c r="E66" s="17">
        <v>92.308000000000007</v>
      </c>
      <c r="F66">
        <v>13</v>
      </c>
      <c r="G66">
        <v>1</v>
      </c>
      <c r="H66">
        <v>0</v>
      </c>
      <c r="I66">
        <v>1</v>
      </c>
      <c r="J66">
        <v>13</v>
      </c>
      <c r="K66">
        <v>344</v>
      </c>
      <c r="L66">
        <v>356</v>
      </c>
      <c r="M66">
        <v>5.3999999999999999E-2</v>
      </c>
      <c r="N66">
        <v>26.9</v>
      </c>
      <c r="O66" t="s">
        <v>152</v>
      </c>
      <c r="P66" t="s">
        <v>154</v>
      </c>
      <c r="Q66" s="6">
        <v>819907</v>
      </c>
      <c r="R66" s="6">
        <v>524348</v>
      </c>
      <c r="S66" s="6">
        <v>367941</v>
      </c>
      <c r="T66" s="6">
        <v>585356</v>
      </c>
      <c r="U66" s="6">
        <v>682346</v>
      </c>
      <c r="V66" s="6">
        <v>824850</v>
      </c>
      <c r="W66" s="6">
        <v>768126</v>
      </c>
      <c r="X66" s="6">
        <v>938038</v>
      </c>
      <c r="Y66" s="6">
        <v>664788</v>
      </c>
      <c r="Z66" s="6">
        <v>330084</v>
      </c>
      <c r="AA66" s="6">
        <v>401042</v>
      </c>
      <c r="AB66" s="6">
        <v>401584</v>
      </c>
      <c r="AC66" s="6">
        <v>863126</v>
      </c>
      <c r="AD66" s="6">
        <v>588363</v>
      </c>
      <c r="AE66" s="6">
        <v>714902</v>
      </c>
      <c r="AF66" s="6">
        <v>1150000</v>
      </c>
      <c r="AG66" s="6">
        <v>1250000</v>
      </c>
      <c r="AH66" s="6">
        <v>1190000</v>
      </c>
      <c r="AI66" s="6" t="s">
        <v>155</v>
      </c>
      <c r="AK66">
        <v>25.624300000000002</v>
      </c>
      <c r="AL66">
        <v>25.555456400000001</v>
      </c>
      <c r="AM66">
        <f t="shared" si="1"/>
        <v>6.8843600000001004E-2</v>
      </c>
      <c r="AN66">
        <v>24.733576353882398</v>
      </c>
      <c r="AO66">
        <v>9.1692307692307597</v>
      </c>
      <c r="AP66" s="19" t="s">
        <v>152</v>
      </c>
    </row>
    <row r="67" spans="1:42" ht="57.75" customHeight="1">
      <c r="B67">
        <f t="shared" si="0"/>
        <v>1</v>
      </c>
      <c r="C67" s="19" t="s">
        <v>156</v>
      </c>
      <c r="D67" t="s">
        <v>157</v>
      </c>
      <c r="E67" s="17">
        <v>80</v>
      </c>
      <c r="F67">
        <v>10</v>
      </c>
      <c r="G67">
        <v>2</v>
      </c>
      <c r="H67">
        <v>0</v>
      </c>
      <c r="I67">
        <v>1</v>
      </c>
      <c r="J67">
        <v>10</v>
      </c>
      <c r="K67">
        <v>267</v>
      </c>
      <c r="L67">
        <v>276</v>
      </c>
      <c r="M67">
        <v>0.39</v>
      </c>
      <c r="N67">
        <v>23.9</v>
      </c>
      <c r="O67" t="s">
        <v>156</v>
      </c>
      <c r="P67" t="s">
        <v>158</v>
      </c>
      <c r="Q67" s="6">
        <v>0</v>
      </c>
      <c r="R67" s="6">
        <v>0</v>
      </c>
      <c r="S67" s="6">
        <v>0</v>
      </c>
      <c r="T67" s="6">
        <v>10008.1</v>
      </c>
      <c r="U67" s="6">
        <v>0</v>
      </c>
      <c r="V67" s="6">
        <v>8564.61</v>
      </c>
      <c r="W67" s="6">
        <v>8265.44</v>
      </c>
      <c r="X67" s="6">
        <v>8192.58</v>
      </c>
      <c r="Y67" s="6">
        <v>0</v>
      </c>
      <c r="Z67" s="6">
        <v>0</v>
      </c>
      <c r="AA67" s="6">
        <v>0</v>
      </c>
      <c r="AB67" s="6">
        <v>0</v>
      </c>
      <c r="AC67" s="6">
        <v>5173.01</v>
      </c>
      <c r="AD67" s="6">
        <v>0</v>
      </c>
      <c r="AE67" s="6">
        <v>12028.3</v>
      </c>
      <c r="AF67" s="6">
        <v>0</v>
      </c>
      <c r="AG67" s="6">
        <v>16957.599999999999</v>
      </c>
      <c r="AH67" s="6">
        <v>5688.16</v>
      </c>
      <c r="AI67" s="6" t="s">
        <v>155</v>
      </c>
      <c r="AK67">
        <v>18.110800000000001</v>
      </c>
      <c r="AL67">
        <v>23.2133276</v>
      </c>
      <c r="AM67">
        <f t="shared" si="1"/>
        <v>5.1025275999999984</v>
      </c>
      <c r="AN67">
        <v>17.196382501788399</v>
      </c>
      <c r="AO67">
        <v>9.0999999999999998E-2</v>
      </c>
      <c r="AP67" s="19" t="s">
        <v>156</v>
      </c>
    </row>
    <row r="68" spans="1:42" ht="57.75" customHeight="1">
      <c r="B68">
        <f t="shared" si="0"/>
        <v>0</v>
      </c>
      <c r="C68" s="19" t="s">
        <v>159</v>
      </c>
      <c r="D68" t="s">
        <v>160</v>
      </c>
      <c r="E68" s="17">
        <v>71.429000000000002</v>
      </c>
      <c r="F68">
        <v>7</v>
      </c>
      <c r="G68">
        <v>2</v>
      </c>
      <c r="H68">
        <v>0</v>
      </c>
      <c r="I68">
        <v>4</v>
      </c>
      <c r="J68">
        <v>10</v>
      </c>
      <c r="K68">
        <v>608</v>
      </c>
      <c r="L68">
        <v>614</v>
      </c>
      <c r="M68">
        <v>8.5</v>
      </c>
      <c r="N68">
        <v>20.399999999999999</v>
      </c>
      <c r="O68" t="s">
        <v>161</v>
      </c>
      <c r="P68" t="s">
        <v>162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120734</v>
      </c>
      <c r="AA68">
        <v>249862</v>
      </c>
      <c r="AB68">
        <v>113234</v>
      </c>
      <c r="AC68">
        <v>200940</v>
      </c>
      <c r="AD68">
        <v>115628</v>
      </c>
      <c r="AE68">
        <v>154242</v>
      </c>
      <c r="AF68">
        <v>414690</v>
      </c>
      <c r="AG68">
        <v>387037</v>
      </c>
      <c r="AH68">
        <v>266012</v>
      </c>
      <c r="AI68" t="s">
        <v>163</v>
      </c>
      <c r="AK68">
        <v>21.816700000000001</v>
      </c>
      <c r="AL68">
        <v>22.4468186</v>
      </c>
      <c r="AM68">
        <f t="shared" si="1"/>
        <v>0.63011859999999942</v>
      </c>
      <c r="AN68">
        <v>19.124862205436798</v>
      </c>
      <c r="AO68">
        <v>6.3076923076923004</v>
      </c>
      <c r="AP68" s="19" t="s">
        <v>159</v>
      </c>
    </row>
    <row r="69" spans="1:42" ht="57.75" customHeight="1">
      <c r="B69">
        <f t="shared" si="0"/>
        <v>0</v>
      </c>
      <c r="C69" s="19" t="s">
        <v>164</v>
      </c>
      <c r="D69" t="s">
        <v>165</v>
      </c>
      <c r="E69" s="17">
        <v>90</v>
      </c>
      <c r="F69">
        <v>10</v>
      </c>
      <c r="G69">
        <v>1</v>
      </c>
      <c r="H69">
        <v>0</v>
      </c>
      <c r="I69">
        <v>1</v>
      </c>
      <c r="J69">
        <v>10</v>
      </c>
      <c r="K69">
        <v>173</v>
      </c>
      <c r="L69">
        <v>182</v>
      </c>
      <c r="M69">
        <v>4.8</v>
      </c>
      <c r="N69">
        <v>21.2</v>
      </c>
      <c r="O69" t="s">
        <v>164</v>
      </c>
      <c r="P69" t="s">
        <v>166</v>
      </c>
      <c r="Q69">
        <v>4060000</v>
      </c>
      <c r="R69">
        <v>4670000</v>
      </c>
      <c r="S69">
        <v>6180000</v>
      </c>
      <c r="T69">
        <v>3530000</v>
      </c>
      <c r="U69">
        <v>3540000</v>
      </c>
      <c r="V69">
        <v>4030000</v>
      </c>
      <c r="W69">
        <v>3820000</v>
      </c>
      <c r="X69">
        <v>2900000</v>
      </c>
      <c r="Y69">
        <v>3600000</v>
      </c>
      <c r="Z69">
        <v>758325</v>
      </c>
      <c r="AA69">
        <v>1060000</v>
      </c>
      <c r="AB69">
        <v>1100000</v>
      </c>
      <c r="AC69">
        <v>1250000</v>
      </c>
      <c r="AD69">
        <v>1130000</v>
      </c>
      <c r="AE69">
        <v>1250000</v>
      </c>
      <c r="AF69">
        <v>2810000</v>
      </c>
      <c r="AG69">
        <v>2510000</v>
      </c>
      <c r="AH69">
        <v>3100000</v>
      </c>
      <c r="AI69" t="s">
        <v>167</v>
      </c>
      <c r="AK69">
        <v>14.1456</v>
      </c>
      <c r="AL69">
        <v>14.1620931333333</v>
      </c>
      <c r="AM69">
        <f t="shared" si="1"/>
        <v>1.6493133333300491E-2</v>
      </c>
      <c r="AN69">
        <v>22.927579345201899</v>
      </c>
      <c r="AO69">
        <v>30.074999999999999</v>
      </c>
      <c r="AP69" s="19" t="s">
        <v>164</v>
      </c>
    </row>
    <row r="70" spans="1:42" ht="57.75" customHeight="1">
      <c r="B70">
        <f t="shared" si="0"/>
        <v>0</v>
      </c>
      <c r="C70" s="19" t="s">
        <v>168</v>
      </c>
      <c r="D70" t="s">
        <v>169</v>
      </c>
      <c r="E70" s="17">
        <v>81.817999999999998</v>
      </c>
      <c r="F70">
        <v>11</v>
      </c>
      <c r="G70">
        <v>2</v>
      </c>
      <c r="H70">
        <v>0</v>
      </c>
      <c r="I70">
        <v>3</v>
      </c>
      <c r="J70">
        <v>13</v>
      </c>
      <c r="K70">
        <v>214</v>
      </c>
      <c r="L70">
        <v>224</v>
      </c>
      <c r="M70">
        <v>3.5</v>
      </c>
      <c r="N70">
        <v>21.6</v>
      </c>
      <c r="O70" t="s">
        <v>170</v>
      </c>
      <c r="P70" t="s">
        <v>171</v>
      </c>
      <c r="Q70" s="6">
        <v>0</v>
      </c>
      <c r="R70" s="6">
        <v>0</v>
      </c>
      <c r="S70" s="6">
        <v>0</v>
      </c>
      <c r="T70" s="6">
        <v>6779.81</v>
      </c>
      <c r="U70" s="6">
        <v>0</v>
      </c>
      <c r="V70" s="6">
        <v>6909.61</v>
      </c>
      <c r="W70" s="6">
        <v>7247.95</v>
      </c>
      <c r="X70" s="6">
        <v>11631.6</v>
      </c>
      <c r="Y70" s="6">
        <v>13628.6</v>
      </c>
      <c r="Z70" s="6">
        <v>0</v>
      </c>
      <c r="AA70" s="6">
        <v>7313.67</v>
      </c>
      <c r="AB70" s="6">
        <v>5492.43</v>
      </c>
      <c r="AC70" s="6">
        <v>10145.1</v>
      </c>
      <c r="AD70" s="6">
        <v>6193.63</v>
      </c>
      <c r="AE70" s="6">
        <v>9590.8799999999992</v>
      </c>
      <c r="AF70" s="6">
        <v>0</v>
      </c>
      <c r="AG70" s="6">
        <v>0</v>
      </c>
      <c r="AH70" s="6">
        <v>0</v>
      </c>
      <c r="AI70" s="6" t="s">
        <v>172</v>
      </c>
      <c r="AK70">
        <v>8.2065099999999997</v>
      </c>
      <c r="AL70">
        <v>21.492307333333301</v>
      </c>
      <c r="AM70">
        <f t="shared" si="1"/>
        <v>13.285797333333301</v>
      </c>
      <c r="AN70">
        <v>23.7548212884195</v>
      </c>
      <c r="AO70">
        <v>0.83076923076923004</v>
      </c>
      <c r="AP70" s="19" t="s">
        <v>168</v>
      </c>
    </row>
    <row r="71" spans="1:42" ht="57.75" customHeight="1">
      <c r="B71">
        <f t="shared" si="0"/>
        <v>1</v>
      </c>
      <c r="C71" s="19" t="s">
        <v>173</v>
      </c>
      <c r="D71" t="s">
        <v>169</v>
      </c>
      <c r="E71" s="17">
        <v>76.923000000000002</v>
      </c>
      <c r="F71">
        <v>13</v>
      </c>
      <c r="G71">
        <v>3</v>
      </c>
      <c r="H71">
        <v>0</v>
      </c>
      <c r="I71">
        <v>3</v>
      </c>
      <c r="J71">
        <v>15</v>
      </c>
      <c r="K71">
        <v>214</v>
      </c>
      <c r="L71">
        <v>226</v>
      </c>
      <c r="M71">
        <v>0.44</v>
      </c>
      <c r="N71">
        <v>24.6</v>
      </c>
      <c r="O71" t="s">
        <v>174</v>
      </c>
      <c r="P71" t="s">
        <v>175</v>
      </c>
      <c r="Q71" s="6">
        <v>0</v>
      </c>
      <c r="R71" s="6">
        <v>0</v>
      </c>
      <c r="S71" s="6">
        <v>0</v>
      </c>
      <c r="T71" s="6">
        <v>0</v>
      </c>
      <c r="U71" s="6">
        <v>1075.3800000000001</v>
      </c>
      <c r="V71" s="6">
        <v>0</v>
      </c>
      <c r="W71" s="6">
        <v>4743.8900000000003</v>
      </c>
      <c r="X71" s="6">
        <v>2992.97</v>
      </c>
      <c r="Y71" s="6">
        <v>3493.71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 t="s">
        <v>172</v>
      </c>
      <c r="AK71">
        <v>16.350100000000001</v>
      </c>
      <c r="AL71">
        <v>24.4226684666667</v>
      </c>
      <c r="AM71">
        <f t="shared" si="1"/>
        <v>8.0725684666666986</v>
      </c>
      <c r="AN71">
        <v>29.069221254436801</v>
      </c>
      <c r="AO71">
        <v>4.7428571428571402</v>
      </c>
      <c r="AP71" s="19" t="s">
        <v>173</v>
      </c>
    </row>
    <row r="72" spans="1:42" ht="57.75" customHeight="1">
      <c r="B72">
        <f t="shared" si="0"/>
        <v>0</v>
      </c>
      <c r="C72" s="19" t="s">
        <v>176</v>
      </c>
      <c r="D72" t="s">
        <v>177</v>
      </c>
      <c r="E72" s="17">
        <v>87.5</v>
      </c>
      <c r="F72">
        <v>16</v>
      </c>
      <c r="G72">
        <v>2</v>
      </c>
      <c r="H72">
        <v>0</v>
      </c>
      <c r="I72">
        <v>1</v>
      </c>
      <c r="J72">
        <v>16</v>
      </c>
      <c r="K72">
        <v>334</v>
      </c>
      <c r="L72">
        <v>349</v>
      </c>
      <c r="M72" s="1">
        <v>6.2500000000000001E-5</v>
      </c>
      <c r="N72">
        <v>35.4</v>
      </c>
      <c r="O72" t="s">
        <v>176</v>
      </c>
      <c r="P72" t="s">
        <v>178</v>
      </c>
      <c r="Q72">
        <v>27836</v>
      </c>
      <c r="R72">
        <v>50456.1</v>
      </c>
      <c r="S72">
        <v>40349.4</v>
      </c>
      <c r="T72">
        <v>55649.9</v>
      </c>
      <c r="U72">
        <v>93102.6</v>
      </c>
      <c r="V72">
        <v>82789.399999999994</v>
      </c>
      <c r="W72">
        <v>58561.9</v>
      </c>
      <c r="X72">
        <v>63312</v>
      </c>
      <c r="Y72">
        <v>61888.6</v>
      </c>
      <c r="Z72">
        <v>0</v>
      </c>
      <c r="AA72">
        <v>0</v>
      </c>
      <c r="AB72">
        <v>0</v>
      </c>
      <c r="AC72">
        <v>0</v>
      </c>
      <c r="AD72">
        <v>21845.5</v>
      </c>
      <c r="AE72">
        <v>25658</v>
      </c>
      <c r="AF72">
        <v>36300.9</v>
      </c>
      <c r="AG72">
        <v>20444.2</v>
      </c>
      <c r="AH72">
        <v>21563.599999999999</v>
      </c>
      <c r="AI72" t="s">
        <v>179</v>
      </c>
      <c r="AK72">
        <v>25.7272</v>
      </c>
      <c r="AL72">
        <v>25.718679399999999</v>
      </c>
      <c r="AM72">
        <f t="shared" si="1"/>
        <v>8.5206000000006554E-3</v>
      </c>
      <c r="AN72">
        <v>27.454835364100699</v>
      </c>
      <c r="AO72">
        <v>22.921875</v>
      </c>
      <c r="AP72" s="19" t="s">
        <v>176</v>
      </c>
    </row>
    <row r="73" spans="1:42" ht="57.75" customHeight="1">
      <c r="B73">
        <f t="shared" si="0"/>
        <v>0</v>
      </c>
      <c r="C73" s="19" t="s">
        <v>180</v>
      </c>
      <c r="D73" t="s">
        <v>181</v>
      </c>
      <c r="E73" s="17">
        <v>50</v>
      </c>
      <c r="F73">
        <v>16</v>
      </c>
      <c r="G73">
        <v>8</v>
      </c>
      <c r="H73">
        <v>0</v>
      </c>
      <c r="I73">
        <v>1</v>
      </c>
      <c r="J73">
        <v>16</v>
      </c>
      <c r="K73">
        <v>301</v>
      </c>
      <c r="L73">
        <v>316</v>
      </c>
      <c r="M73">
        <v>0.88</v>
      </c>
      <c r="N73">
        <v>23.5</v>
      </c>
      <c r="O73" t="s">
        <v>180</v>
      </c>
      <c r="P73" t="s">
        <v>182</v>
      </c>
      <c r="Q73">
        <v>508253</v>
      </c>
      <c r="R73">
        <v>345777</v>
      </c>
      <c r="S73">
        <v>417487</v>
      </c>
      <c r="T73">
        <v>266458</v>
      </c>
      <c r="U73">
        <v>400047</v>
      </c>
      <c r="V73">
        <v>198529</v>
      </c>
      <c r="W73">
        <v>223783</v>
      </c>
      <c r="X73">
        <v>224026</v>
      </c>
      <c r="Y73">
        <v>206154</v>
      </c>
      <c r="Z73">
        <v>6610000</v>
      </c>
      <c r="AA73">
        <v>6710000</v>
      </c>
      <c r="AB73">
        <v>6280000</v>
      </c>
      <c r="AC73">
        <v>5860000</v>
      </c>
      <c r="AD73">
        <v>4350000</v>
      </c>
      <c r="AE73">
        <v>4120000</v>
      </c>
      <c r="AF73">
        <v>2850000</v>
      </c>
      <c r="AG73">
        <v>3050000</v>
      </c>
      <c r="AH73">
        <v>2610000</v>
      </c>
      <c r="AI73" t="s">
        <v>183</v>
      </c>
      <c r="AK73">
        <v>16.9754</v>
      </c>
      <c r="AL73">
        <v>17.0085908</v>
      </c>
      <c r="AM73">
        <f t="shared" si="1"/>
        <v>3.3190799999999854E-2</v>
      </c>
      <c r="AN73">
        <v>25.861433667948099</v>
      </c>
      <c r="AO73">
        <v>16.03125</v>
      </c>
      <c r="AP73" s="19" t="s">
        <v>180</v>
      </c>
    </row>
    <row r="74" spans="1:42" ht="57.75" customHeight="1">
      <c r="A74">
        <v>1</v>
      </c>
      <c r="B74">
        <f t="shared" si="0"/>
        <v>0</v>
      </c>
      <c r="C74" s="19" t="s">
        <v>184</v>
      </c>
      <c r="D74" t="s">
        <v>185</v>
      </c>
      <c r="E74" s="17">
        <v>80</v>
      </c>
      <c r="F74">
        <v>15</v>
      </c>
      <c r="G74">
        <v>3</v>
      </c>
      <c r="H74">
        <v>0</v>
      </c>
      <c r="I74">
        <v>2</v>
      </c>
      <c r="J74">
        <v>16</v>
      </c>
      <c r="K74">
        <v>57</v>
      </c>
      <c r="L74">
        <v>71</v>
      </c>
      <c r="M74">
        <v>2E-3</v>
      </c>
      <c r="N74">
        <v>31.2</v>
      </c>
      <c r="O74" t="s">
        <v>186</v>
      </c>
      <c r="P74" t="s">
        <v>187</v>
      </c>
      <c r="Q74">
        <v>0</v>
      </c>
      <c r="R74">
        <v>0</v>
      </c>
      <c r="S74">
        <v>0</v>
      </c>
      <c r="T74">
        <v>2121.4699999999998</v>
      </c>
      <c r="U74">
        <v>0</v>
      </c>
      <c r="V74">
        <v>0</v>
      </c>
      <c r="W74">
        <v>833.048</v>
      </c>
      <c r="X74">
        <v>920.44200000000001</v>
      </c>
      <c r="Y74">
        <v>0</v>
      </c>
      <c r="Z74">
        <v>2106.88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188</v>
      </c>
      <c r="AK74">
        <v>23.784199999999998</v>
      </c>
      <c r="AL74">
        <v>28.939023200000001</v>
      </c>
      <c r="AM74">
        <f t="shared" si="1"/>
        <v>5.1548232000000027</v>
      </c>
      <c r="AN74">
        <v>23.362326024055101</v>
      </c>
      <c r="AO74">
        <v>7</v>
      </c>
      <c r="AP74" s="19" t="s">
        <v>184</v>
      </c>
    </row>
    <row r="75" spans="1:42" ht="57.75" customHeight="1">
      <c r="B75">
        <f t="shared" si="0"/>
        <v>0</v>
      </c>
      <c r="C75" s="19" t="s">
        <v>189</v>
      </c>
      <c r="D75" t="s">
        <v>190</v>
      </c>
      <c r="E75" s="17">
        <v>72.727000000000004</v>
      </c>
      <c r="F75">
        <v>22</v>
      </c>
      <c r="G75">
        <v>4</v>
      </c>
      <c r="H75">
        <v>1</v>
      </c>
      <c r="I75">
        <v>1</v>
      </c>
      <c r="J75">
        <v>22</v>
      </c>
      <c r="K75">
        <v>19</v>
      </c>
      <c r="L75">
        <v>38</v>
      </c>
      <c r="M75" s="1">
        <v>5.7399999999999997E-4</v>
      </c>
      <c r="N75">
        <v>32.299999999999997</v>
      </c>
      <c r="O75" t="s">
        <v>189</v>
      </c>
      <c r="P75" t="s">
        <v>191</v>
      </c>
      <c r="Q75" s="6">
        <v>0</v>
      </c>
      <c r="R75" s="6">
        <v>0</v>
      </c>
      <c r="S75" s="6">
        <v>0</v>
      </c>
      <c r="T75" s="6">
        <v>0</v>
      </c>
      <c r="U75" s="6">
        <v>4840000</v>
      </c>
      <c r="V75" s="6">
        <v>0</v>
      </c>
      <c r="W75" s="6">
        <v>889107</v>
      </c>
      <c r="X75" s="6">
        <v>0</v>
      </c>
      <c r="Y75" s="6">
        <v>1930000</v>
      </c>
      <c r="Z75" s="6">
        <v>8920000</v>
      </c>
      <c r="AA75" s="6">
        <v>0</v>
      </c>
      <c r="AB75" s="6">
        <v>0</v>
      </c>
      <c r="AC75" s="6">
        <v>18400000</v>
      </c>
      <c r="AD75" s="6">
        <v>38300000</v>
      </c>
      <c r="AE75" s="6">
        <v>24800000</v>
      </c>
      <c r="AF75" s="6">
        <v>0</v>
      </c>
      <c r="AG75" s="6">
        <v>0</v>
      </c>
      <c r="AH75" s="6">
        <v>0</v>
      </c>
      <c r="AI75" s="6" t="s">
        <v>192</v>
      </c>
      <c r="AK75">
        <v>20.603100000000001</v>
      </c>
      <c r="AL75">
        <v>29.139770066666699</v>
      </c>
      <c r="AM75">
        <f t="shared" si="1"/>
        <v>8.5366700666666979</v>
      </c>
      <c r="AN75">
        <v>35.847551138769703</v>
      </c>
      <c r="AO75">
        <v>5.9818181818181797</v>
      </c>
      <c r="AP75" s="19" t="s">
        <v>189</v>
      </c>
    </row>
    <row r="76" spans="1:42" ht="57.75" customHeight="1">
      <c r="B76">
        <f t="shared" si="0"/>
        <v>1</v>
      </c>
      <c r="C76" s="19" t="s">
        <v>193</v>
      </c>
      <c r="D76" t="s">
        <v>190</v>
      </c>
      <c r="E76" s="17">
        <v>75</v>
      </c>
      <c r="F76">
        <v>16</v>
      </c>
      <c r="G76">
        <v>4</v>
      </c>
      <c r="H76">
        <v>0</v>
      </c>
      <c r="I76">
        <v>1</v>
      </c>
      <c r="J76">
        <v>16</v>
      </c>
      <c r="K76">
        <v>45</v>
      </c>
      <c r="L76">
        <v>60</v>
      </c>
      <c r="M76">
        <v>8.0000000000000002E-3</v>
      </c>
      <c r="N76">
        <v>29.3</v>
      </c>
      <c r="O76" t="s">
        <v>193</v>
      </c>
      <c r="P76" t="s">
        <v>194</v>
      </c>
      <c r="Q76" s="6">
        <v>0</v>
      </c>
      <c r="R76" s="6">
        <v>0</v>
      </c>
      <c r="S76" s="6">
        <v>0</v>
      </c>
      <c r="T76" s="6">
        <v>1122.4100000000001</v>
      </c>
      <c r="U76" s="6">
        <v>3844.75</v>
      </c>
      <c r="V76" s="6">
        <v>0</v>
      </c>
      <c r="W76" s="6">
        <v>0</v>
      </c>
      <c r="X76" s="6">
        <v>1373.48</v>
      </c>
      <c r="Y76" s="6">
        <v>0</v>
      </c>
      <c r="Z76" s="6">
        <v>0</v>
      </c>
      <c r="AA76" s="6">
        <v>0</v>
      </c>
      <c r="AB76" s="6">
        <v>7232.96</v>
      </c>
      <c r="AC76" s="6">
        <v>0</v>
      </c>
      <c r="AD76" s="6">
        <v>12465</v>
      </c>
      <c r="AE76" s="6">
        <v>7433.76</v>
      </c>
      <c r="AF76" s="6">
        <v>7475.69</v>
      </c>
      <c r="AG76" s="6">
        <v>0</v>
      </c>
      <c r="AH76" s="6">
        <v>0</v>
      </c>
      <c r="AI76" s="6" t="s">
        <v>192</v>
      </c>
      <c r="AK76">
        <v>21.916599999999999</v>
      </c>
      <c r="AL76">
        <v>21.982149799999998</v>
      </c>
      <c r="AM76">
        <f t="shared" si="1"/>
        <v>6.5549799999999436E-2</v>
      </c>
      <c r="AN76">
        <v>24.651795663586501</v>
      </c>
      <c r="AO76">
        <v>14.90625</v>
      </c>
      <c r="AP76" s="19" t="s">
        <v>193</v>
      </c>
    </row>
    <row r="77" spans="1:42" ht="57.75" customHeight="1">
      <c r="B77">
        <f t="shared" si="0"/>
        <v>0</v>
      </c>
      <c r="C77" s="19" t="s">
        <v>195</v>
      </c>
      <c r="D77" t="s">
        <v>196</v>
      </c>
      <c r="E77" s="17">
        <v>77.272999999999996</v>
      </c>
      <c r="F77">
        <v>22</v>
      </c>
      <c r="G77">
        <v>3</v>
      </c>
      <c r="H77">
        <v>1</v>
      </c>
      <c r="I77">
        <v>1</v>
      </c>
      <c r="J77">
        <v>22</v>
      </c>
      <c r="K77">
        <v>19</v>
      </c>
      <c r="L77">
        <v>38</v>
      </c>
      <c r="M77" s="1">
        <v>1.6099999999999998E-5</v>
      </c>
      <c r="N77">
        <v>36.6</v>
      </c>
      <c r="O77" t="s">
        <v>195</v>
      </c>
      <c r="P77" t="s">
        <v>191</v>
      </c>
      <c r="Q77">
        <v>0</v>
      </c>
      <c r="R77">
        <v>0</v>
      </c>
      <c r="S77">
        <v>0</v>
      </c>
      <c r="T77">
        <v>0</v>
      </c>
      <c r="U77">
        <v>4227.0200000000004</v>
      </c>
      <c r="V77">
        <v>0</v>
      </c>
      <c r="W77">
        <v>58045.4</v>
      </c>
      <c r="X77">
        <v>0</v>
      </c>
      <c r="Y77">
        <v>2323.85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5772.53</v>
      </c>
      <c r="AF77">
        <v>6525.97</v>
      </c>
      <c r="AG77">
        <v>2702.62</v>
      </c>
      <c r="AH77">
        <v>6314.31</v>
      </c>
      <c r="AI77" t="s">
        <v>197</v>
      </c>
      <c r="AK77">
        <v>22.213699999999999</v>
      </c>
      <c r="AL77">
        <v>28.643368133333301</v>
      </c>
      <c r="AM77">
        <f t="shared" si="1"/>
        <v>6.4296681333333012</v>
      </c>
      <c r="AN77">
        <v>42.911381036708903</v>
      </c>
      <c r="AO77">
        <v>20.352272727272702</v>
      </c>
      <c r="AP77" s="19" t="s">
        <v>195</v>
      </c>
    </row>
    <row r="78" spans="1:42" ht="57.75" customHeight="1">
      <c r="B78">
        <f t="shared" si="0"/>
        <v>0</v>
      </c>
      <c r="C78" s="19" t="s">
        <v>198</v>
      </c>
      <c r="D78" t="s">
        <v>199</v>
      </c>
      <c r="E78" s="17">
        <v>91.667000000000002</v>
      </c>
      <c r="F78">
        <v>12</v>
      </c>
      <c r="G78">
        <v>1</v>
      </c>
      <c r="H78">
        <v>0</v>
      </c>
      <c r="I78">
        <v>1</v>
      </c>
      <c r="J78">
        <v>12</v>
      </c>
      <c r="K78">
        <v>15</v>
      </c>
      <c r="L78">
        <v>26</v>
      </c>
      <c r="M78">
        <v>1.9E-2</v>
      </c>
      <c r="N78">
        <v>28.1</v>
      </c>
      <c r="O78" t="s">
        <v>198</v>
      </c>
      <c r="P78" t="s">
        <v>200</v>
      </c>
      <c r="Q78">
        <v>39083.9</v>
      </c>
      <c r="R78">
        <v>25428</v>
      </c>
      <c r="S78">
        <v>66055.5</v>
      </c>
      <c r="T78">
        <v>122449</v>
      </c>
      <c r="U78">
        <v>144512</v>
      </c>
      <c r="V78">
        <v>89816.1</v>
      </c>
      <c r="W78">
        <v>76313.7</v>
      </c>
      <c r="X78">
        <v>102368</v>
      </c>
      <c r="Y78">
        <v>97472.8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97323.5</v>
      </c>
      <c r="AG78">
        <v>57434.7</v>
      </c>
      <c r="AH78">
        <v>38936.9</v>
      </c>
      <c r="AI78" t="s">
        <v>201</v>
      </c>
      <c r="AK78">
        <v>22.425899999999999</v>
      </c>
      <c r="AL78">
        <v>25.978832799999999</v>
      </c>
      <c r="AM78">
        <f t="shared" si="1"/>
        <v>3.5529328000000007</v>
      </c>
      <c r="AN78">
        <v>22.184077905610302</v>
      </c>
      <c r="AO78">
        <v>20.875</v>
      </c>
      <c r="AP78" s="19" t="s">
        <v>198</v>
      </c>
    </row>
    <row r="79" spans="1:42" ht="57.75" customHeight="1">
      <c r="B79">
        <f t="shared" si="0"/>
        <v>0</v>
      </c>
      <c r="C79" s="19" t="s">
        <v>202</v>
      </c>
      <c r="D79" t="s">
        <v>203</v>
      </c>
      <c r="E79" s="17">
        <v>50</v>
      </c>
      <c r="F79">
        <v>14</v>
      </c>
      <c r="G79">
        <v>7</v>
      </c>
      <c r="H79">
        <v>0</v>
      </c>
      <c r="I79">
        <v>3</v>
      </c>
      <c r="J79">
        <v>16</v>
      </c>
      <c r="K79">
        <v>59</v>
      </c>
      <c r="L79">
        <v>72</v>
      </c>
      <c r="M79">
        <v>4.5</v>
      </c>
      <c r="N79">
        <v>21.6</v>
      </c>
      <c r="O79" t="s">
        <v>204</v>
      </c>
      <c r="P79" t="s">
        <v>205</v>
      </c>
      <c r="Q79">
        <v>0</v>
      </c>
      <c r="R79">
        <v>0</v>
      </c>
      <c r="S79">
        <v>0</v>
      </c>
      <c r="T79">
        <v>2672.81</v>
      </c>
      <c r="U79">
        <v>5639.6</v>
      </c>
      <c r="V79">
        <v>2097.06</v>
      </c>
      <c r="W79">
        <v>1386.79</v>
      </c>
      <c r="X79">
        <v>0</v>
      </c>
      <c r="Y79">
        <v>0</v>
      </c>
      <c r="Z79">
        <v>0</v>
      </c>
      <c r="AA79">
        <v>0</v>
      </c>
      <c r="AB79">
        <v>3393.51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t="s">
        <v>206</v>
      </c>
      <c r="AK79">
        <v>21.456800000000001</v>
      </c>
      <c r="AL79">
        <v>25.706267466666699</v>
      </c>
      <c r="AM79">
        <f t="shared" si="1"/>
        <v>4.2494674666666974</v>
      </c>
      <c r="AN79">
        <v>27.282842529157602</v>
      </c>
      <c r="AO79">
        <v>15.1323529411764</v>
      </c>
      <c r="AP79" s="10" t="s">
        <v>202</v>
      </c>
    </row>
    <row r="80" spans="1:42" ht="57.75" customHeight="1">
      <c r="B80">
        <f t="shared" si="0"/>
        <v>0</v>
      </c>
      <c r="C80" s="19" t="s">
        <v>207</v>
      </c>
      <c r="D80" t="s">
        <v>208</v>
      </c>
      <c r="E80" s="17">
        <v>54.545000000000002</v>
      </c>
      <c r="F80">
        <v>11</v>
      </c>
      <c r="G80">
        <v>5</v>
      </c>
      <c r="H80">
        <v>0</v>
      </c>
      <c r="I80">
        <v>1</v>
      </c>
      <c r="J80">
        <v>11</v>
      </c>
      <c r="K80">
        <v>117</v>
      </c>
      <c r="L80">
        <v>127</v>
      </c>
      <c r="M80">
        <v>1.1000000000000001</v>
      </c>
      <c r="N80">
        <v>23.1</v>
      </c>
      <c r="O80" t="s">
        <v>207</v>
      </c>
      <c r="P80" t="s">
        <v>209</v>
      </c>
      <c r="Q80" s="6">
        <v>846664</v>
      </c>
      <c r="R80" s="6">
        <v>732807</v>
      </c>
      <c r="S80" s="6">
        <v>838664</v>
      </c>
      <c r="T80" s="6">
        <v>830540</v>
      </c>
      <c r="U80" s="6">
        <v>891492</v>
      </c>
      <c r="V80" s="6">
        <v>855487</v>
      </c>
      <c r="W80" s="6">
        <v>812635</v>
      </c>
      <c r="X80" s="6">
        <v>688966</v>
      </c>
      <c r="Y80" s="6">
        <v>683432</v>
      </c>
      <c r="Z80" s="6">
        <v>1450000</v>
      </c>
      <c r="AA80" s="6">
        <v>1900000</v>
      </c>
      <c r="AB80" s="6">
        <v>1430000</v>
      </c>
      <c r="AC80" s="6">
        <v>1000000</v>
      </c>
      <c r="AD80" s="6">
        <v>1250000</v>
      </c>
      <c r="AE80" s="6">
        <v>1150000</v>
      </c>
      <c r="AF80" s="6">
        <v>1500000</v>
      </c>
      <c r="AG80" s="6">
        <v>748631</v>
      </c>
      <c r="AH80" s="6">
        <v>753458</v>
      </c>
      <c r="AI80" s="6" t="s">
        <v>210</v>
      </c>
      <c r="AK80">
        <v>26.806899999999999</v>
      </c>
      <c r="AL80">
        <v>26.7464196666667</v>
      </c>
      <c r="AM80">
        <f t="shared" si="1"/>
        <v>6.048033333329883E-2</v>
      </c>
      <c r="AN80">
        <v>30.9254988784724</v>
      </c>
      <c r="AO80">
        <v>32.318181818181799</v>
      </c>
      <c r="AP80" s="19" t="s">
        <v>207</v>
      </c>
    </row>
    <row r="81" spans="1:42" ht="57.75" customHeight="1">
      <c r="A81">
        <v>1</v>
      </c>
      <c r="B81">
        <f t="shared" si="0"/>
        <v>1</v>
      </c>
      <c r="C81" s="19" t="s">
        <v>211</v>
      </c>
      <c r="D81" t="s">
        <v>212</v>
      </c>
      <c r="E81" s="17">
        <v>58.332999999999998</v>
      </c>
      <c r="F81">
        <v>12</v>
      </c>
      <c r="G81">
        <v>5</v>
      </c>
      <c r="H81">
        <v>0</v>
      </c>
      <c r="I81">
        <v>1</v>
      </c>
      <c r="J81">
        <v>12</v>
      </c>
      <c r="K81">
        <v>85</v>
      </c>
      <c r="L81">
        <v>96</v>
      </c>
      <c r="M81">
        <v>4</v>
      </c>
      <c r="N81">
        <v>21.6</v>
      </c>
      <c r="O81" t="s">
        <v>213</v>
      </c>
      <c r="P81" t="s">
        <v>214</v>
      </c>
      <c r="Q81" s="6">
        <v>0</v>
      </c>
      <c r="R81" s="6">
        <v>0</v>
      </c>
      <c r="S81" s="6">
        <v>115671</v>
      </c>
      <c r="T81" s="6">
        <v>89604.4</v>
      </c>
      <c r="U81" s="6">
        <v>146715</v>
      </c>
      <c r="V81" s="6">
        <v>152641</v>
      </c>
      <c r="W81" s="6">
        <v>145259</v>
      </c>
      <c r="X81" s="6">
        <v>185197</v>
      </c>
      <c r="Y81" s="6">
        <v>143703</v>
      </c>
      <c r="Z81" s="6">
        <v>200750</v>
      </c>
      <c r="AA81" s="6">
        <v>243974</v>
      </c>
      <c r="AB81" s="6">
        <v>151916</v>
      </c>
      <c r="AC81" s="6">
        <v>69687.600000000006</v>
      </c>
      <c r="AD81" s="6">
        <v>288827</v>
      </c>
      <c r="AE81" s="6">
        <v>0</v>
      </c>
      <c r="AF81" s="6">
        <v>0</v>
      </c>
      <c r="AG81" s="6">
        <v>67361.5</v>
      </c>
      <c r="AH81" s="6">
        <v>131534</v>
      </c>
      <c r="AI81" s="6" t="s">
        <v>210</v>
      </c>
      <c r="AK81">
        <v>19.807600000000001</v>
      </c>
      <c r="AL81">
        <v>25.955300133333299</v>
      </c>
      <c r="AM81">
        <f t="shared" si="1"/>
        <v>6.1477001333332986</v>
      </c>
      <c r="AN81">
        <v>23.8722009492975</v>
      </c>
      <c r="AO81">
        <v>20.196428571428498</v>
      </c>
      <c r="AP81" s="10" t="s">
        <v>211</v>
      </c>
    </row>
    <row r="82" spans="1:42" ht="57.75" customHeight="1">
      <c r="B82">
        <f t="shared" si="0"/>
        <v>1</v>
      </c>
      <c r="C82" s="19" t="s">
        <v>215</v>
      </c>
      <c r="D82" t="s">
        <v>216</v>
      </c>
      <c r="E82" s="17">
        <v>46.667000000000002</v>
      </c>
      <c r="F82">
        <v>15</v>
      </c>
      <c r="G82">
        <v>8</v>
      </c>
      <c r="H82">
        <v>0</v>
      </c>
      <c r="I82">
        <v>3</v>
      </c>
      <c r="J82">
        <v>17</v>
      </c>
      <c r="K82">
        <v>79</v>
      </c>
      <c r="L82">
        <v>93</v>
      </c>
      <c r="M82">
        <v>4</v>
      </c>
      <c r="N82">
        <v>21.9</v>
      </c>
      <c r="O82" t="s">
        <v>217</v>
      </c>
      <c r="P82" t="s">
        <v>218</v>
      </c>
      <c r="Q82" s="6">
        <v>272552</v>
      </c>
      <c r="R82" s="6">
        <v>308603</v>
      </c>
      <c r="S82" s="6">
        <v>177443</v>
      </c>
      <c r="T82" s="6">
        <v>294812</v>
      </c>
      <c r="U82" s="6">
        <v>343974</v>
      </c>
      <c r="V82" s="6">
        <v>250819</v>
      </c>
      <c r="W82" s="6">
        <v>200730</v>
      </c>
      <c r="X82" s="6">
        <v>240044</v>
      </c>
      <c r="Y82" s="6">
        <v>197033</v>
      </c>
      <c r="Z82" s="6">
        <v>396633</v>
      </c>
      <c r="AA82" s="6">
        <v>507108</v>
      </c>
      <c r="AB82" s="6">
        <v>292328</v>
      </c>
      <c r="AC82" s="6">
        <v>228884</v>
      </c>
      <c r="AD82" s="6">
        <v>363424</v>
      </c>
      <c r="AE82" s="6">
        <v>197002</v>
      </c>
      <c r="AF82" s="6">
        <v>222918</v>
      </c>
      <c r="AG82" s="6">
        <v>232400</v>
      </c>
      <c r="AH82" s="6">
        <v>227789</v>
      </c>
      <c r="AI82" s="6" t="s">
        <v>210</v>
      </c>
      <c r="AK82">
        <v>12.2974</v>
      </c>
      <c r="AL82">
        <v>15.343071</v>
      </c>
      <c r="AM82">
        <f t="shared" si="1"/>
        <v>3.0456710000000005</v>
      </c>
      <c r="AN82">
        <v>29.972659779601901</v>
      </c>
      <c r="AO82">
        <v>11.964285714285699</v>
      </c>
      <c r="AP82" s="19" t="s">
        <v>215</v>
      </c>
    </row>
    <row r="83" spans="1:42" ht="57.75" customHeight="1">
      <c r="B83">
        <f t="shared" si="0"/>
        <v>1</v>
      </c>
      <c r="C83" s="19" t="s">
        <v>219</v>
      </c>
      <c r="D83" t="s">
        <v>212</v>
      </c>
      <c r="E83" s="17">
        <v>58.332999999999998</v>
      </c>
      <c r="F83">
        <v>12</v>
      </c>
      <c r="G83">
        <v>5</v>
      </c>
      <c r="H83">
        <v>0</v>
      </c>
      <c r="I83">
        <v>1</v>
      </c>
      <c r="J83">
        <v>12</v>
      </c>
      <c r="K83">
        <v>85</v>
      </c>
      <c r="L83">
        <v>96</v>
      </c>
      <c r="M83">
        <v>3.3</v>
      </c>
      <c r="N83">
        <v>21.6</v>
      </c>
      <c r="O83" t="s">
        <v>213</v>
      </c>
      <c r="P83" t="s">
        <v>214</v>
      </c>
      <c r="Q83" s="6">
        <v>345502</v>
      </c>
      <c r="R83" s="6">
        <v>384433</v>
      </c>
      <c r="S83" s="6">
        <v>571210</v>
      </c>
      <c r="T83" s="6">
        <v>487639</v>
      </c>
      <c r="U83" s="6">
        <v>650995</v>
      </c>
      <c r="V83" s="6">
        <v>736683</v>
      </c>
      <c r="W83" s="6">
        <v>258297</v>
      </c>
      <c r="X83" s="6">
        <v>738182</v>
      </c>
      <c r="Y83" s="6">
        <v>499204</v>
      </c>
      <c r="Z83" s="6">
        <v>1220000</v>
      </c>
      <c r="AA83" s="6">
        <v>1530000</v>
      </c>
      <c r="AB83" s="6">
        <v>962101</v>
      </c>
      <c r="AC83" s="6">
        <v>755179</v>
      </c>
      <c r="AD83" s="6">
        <v>1040000</v>
      </c>
      <c r="AE83" s="6">
        <v>1140000</v>
      </c>
      <c r="AF83" s="6">
        <v>703552</v>
      </c>
      <c r="AG83" s="6">
        <v>330282</v>
      </c>
      <c r="AH83" s="6">
        <v>510691</v>
      </c>
      <c r="AI83" s="6" t="s">
        <v>210</v>
      </c>
      <c r="AK83">
        <v>21.572600000000001</v>
      </c>
      <c r="AL83">
        <v>22.7103774666666</v>
      </c>
      <c r="AM83">
        <f t="shared" si="1"/>
        <v>1.1377774666665985</v>
      </c>
      <c r="AN83">
        <v>20.677028058441799</v>
      </c>
      <c r="AO83">
        <v>4.6153846153846096</v>
      </c>
      <c r="AP83" s="19" t="s">
        <v>219</v>
      </c>
    </row>
    <row r="84" spans="1:42" ht="57.75" customHeight="1">
      <c r="B84">
        <f t="shared" si="0"/>
        <v>0</v>
      </c>
      <c r="C84" s="19" t="s">
        <v>220</v>
      </c>
      <c r="D84" t="s">
        <v>221</v>
      </c>
      <c r="E84" s="17">
        <v>95.238</v>
      </c>
      <c r="F84">
        <v>21</v>
      </c>
      <c r="G84">
        <v>1</v>
      </c>
      <c r="H84">
        <v>0</v>
      </c>
      <c r="I84">
        <v>1</v>
      </c>
      <c r="J84">
        <v>21</v>
      </c>
      <c r="K84">
        <v>2</v>
      </c>
      <c r="L84">
        <v>22</v>
      </c>
      <c r="M84" s="1">
        <v>1.27E-8</v>
      </c>
      <c r="N84">
        <v>44.3</v>
      </c>
      <c r="O84" t="s">
        <v>220</v>
      </c>
      <c r="P84" t="s">
        <v>222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82039.600000000006</v>
      </c>
      <c r="AB84">
        <v>0</v>
      </c>
      <c r="AC84">
        <v>60912.800000000003</v>
      </c>
      <c r="AD84">
        <v>0</v>
      </c>
      <c r="AE84">
        <v>0</v>
      </c>
      <c r="AF84">
        <v>89819.5</v>
      </c>
      <c r="AG84">
        <v>95803.7</v>
      </c>
      <c r="AH84">
        <v>202408</v>
      </c>
      <c r="AI84" t="s">
        <v>223</v>
      </c>
      <c r="AK84">
        <v>30.146899999999999</v>
      </c>
      <c r="AL84">
        <v>17.8474644</v>
      </c>
      <c r="AM84">
        <f t="shared" si="1"/>
        <v>12.299435599999999</v>
      </c>
      <c r="AN84">
        <v>26.270810931744599</v>
      </c>
      <c r="AO84">
        <v>5.5047619047619003</v>
      </c>
      <c r="AP84" s="19" t="s">
        <v>220</v>
      </c>
    </row>
    <row r="85" spans="1:42" ht="57.75" customHeight="1">
      <c r="B85">
        <f t="shared" si="0"/>
        <v>0</v>
      </c>
      <c r="C85" s="19" t="s">
        <v>224</v>
      </c>
      <c r="D85" t="s">
        <v>225</v>
      </c>
      <c r="E85" s="17">
        <v>95</v>
      </c>
      <c r="F85">
        <v>20</v>
      </c>
      <c r="G85">
        <v>0</v>
      </c>
      <c r="H85">
        <v>1</v>
      </c>
      <c r="I85">
        <v>1</v>
      </c>
      <c r="J85">
        <v>19</v>
      </c>
      <c r="K85">
        <v>38</v>
      </c>
      <c r="L85">
        <v>57</v>
      </c>
      <c r="M85" s="1">
        <v>5.48E-6</v>
      </c>
      <c r="N85">
        <v>38.5</v>
      </c>
      <c r="O85" t="s">
        <v>226</v>
      </c>
      <c r="P85" t="s">
        <v>227</v>
      </c>
      <c r="Q85">
        <v>161427</v>
      </c>
      <c r="R85">
        <v>204572</v>
      </c>
      <c r="S85">
        <v>148606</v>
      </c>
      <c r="T85">
        <v>170758</v>
      </c>
      <c r="U85">
        <v>137894</v>
      </c>
      <c r="V85">
        <v>192956</v>
      </c>
      <c r="W85">
        <v>47199.4</v>
      </c>
      <c r="X85">
        <v>31965.3</v>
      </c>
      <c r="Y85">
        <v>66658.2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228</v>
      </c>
      <c r="AK85">
        <v>14.520799999999999</v>
      </c>
      <c r="AL85">
        <v>14.4444214</v>
      </c>
      <c r="AM85">
        <f t="shared" si="1"/>
        <v>7.6378599999999963E-2</v>
      </c>
      <c r="AN85">
        <v>23.788656199899599</v>
      </c>
      <c r="AO85">
        <v>4.1894736842105198</v>
      </c>
      <c r="AP85" s="19" t="s">
        <v>224</v>
      </c>
    </row>
    <row r="86" spans="1:42" ht="57.75" customHeight="1">
      <c r="B86">
        <f t="shared" si="0"/>
        <v>0</v>
      </c>
      <c r="C86" s="19" t="s">
        <v>229</v>
      </c>
      <c r="D86" t="s">
        <v>230</v>
      </c>
      <c r="E86" s="17">
        <v>53.845999999999997</v>
      </c>
      <c r="F86">
        <v>13</v>
      </c>
      <c r="G86">
        <v>4</v>
      </c>
      <c r="H86">
        <v>1</v>
      </c>
      <c r="I86">
        <v>1</v>
      </c>
      <c r="J86">
        <v>13</v>
      </c>
      <c r="K86">
        <v>166</v>
      </c>
      <c r="L86">
        <v>176</v>
      </c>
      <c r="M86">
        <v>3</v>
      </c>
      <c r="N86">
        <v>21.9</v>
      </c>
      <c r="O86" t="s">
        <v>231</v>
      </c>
      <c r="P86" t="s">
        <v>232</v>
      </c>
      <c r="Q86">
        <v>19519.599999999999</v>
      </c>
      <c r="R86">
        <v>16379.6</v>
      </c>
      <c r="S86">
        <v>0</v>
      </c>
      <c r="T86">
        <v>29417</v>
      </c>
      <c r="U86">
        <v>0</v>
      </c>
      <c r="V86">
        <v>23762.5</v>
      </c>
      <c r="W86">
        <v>39154.800000000003</v>
      </c>
      <c r="X86">
        <v>35948.6</v>
      </c>
      <c r="Y86">
        <v>26510.9</v>
      </c>
      <c r="Z86">
        <v>0</v>
      </c>
      <c r="AA86">
        <v>0</v>
      </c>
      <c r="AB86">
        <v>0</v>
      </c>
      <c r="AC86">
        <v>0</v>
      </c>
      <c r="AD86">
        <v>14680.5</v>
      </c>
      <c r="AE86">
        <v>0</v>
      </c>
      <c r="AF86">
        <v>0</v>
      </c>
      <c r="AG86">
        <v>0</v>
      </c>
      <c r="AH86">
        <v>78379.7</v>
      </c>
      <c r="AI86" t="s">
        <v>233</v>
      </c>
      <c r="AK86">
        <v>17.301600000000001</v>
      </c>
      <c r="AL86">
        <v>24.556409066666699</v>
      </c>
      <c r="AM86">
        <f t="shared" si="1"/>
        <v>7.2548090666666987</v>
      </c>
      <c r="AN86">
        <v>25.115082234808298</v>
      </c>
      <c r="AO86">
        <v>6.85</v>
      </c>
      <c r="AP86" s="10" t="s">
        <v>229</v>
      </c>
    </row>
    <row r="87" spans="1:42" ht="57.75" customHeight="1">
      <c r="B87">
        <f t="shared" si="0"/>
        <v>0</v>
      </c>
      <c r="C87" s="19" t="s">
        <v>234</v>
      </c>
      <c r="D87" t="s">
        <v>235</v>
      </c>
      <c r="E87" s="17">
        <v>92.856999999999999</v>
      </c>
      <c r="F87">
        <v>14</v>
      </c>
      <c r="G87">
        <v>0</v>
      </c>
      <c r="H87">
        <v>1</v>
      </c>
      <c r="I87">
        <v>1</v>
      </c>
      <c r="J87">
        <v>14</v>
      </c>
      <c r="K87">
        <v>124</v>
      </c>
      <c r="L87">
        <v>136</v>
      </c>
      <c r="M87">
        <v>0.19</v>
      </c>
      <c r="N87">
        <v>25.4</v>
      </c>
      <c r="O87" t="s">
        <v>234</v>
      </c>
      <c r="P87" t="s">
        <v>236</v>
      </c>
      <c r="Q87">
        <v>12900000</v>
      </c>
      <c r="R87">
        <v>12700000</v>
      </c>
      <c r="S87">
        <v>12400000</v>
      </c>
      <c r="T87">
        <v>11700000</v>
      </c>
      <c r="U87">
        <v>12400000</v>
      </c>
      <c r="V87">
        <v>12300000</v>
      </c>
      <c r="W87">
        <v>6340000</v>
      </c>
      <c r="X87">
        <v>7890000</v>
      </c>
      <c r="Y87">
        <v>7370000</v>
      </c>
      <c r="Z87">
        <v>5450000</v>
      </c>
      <c r="AA87">
        <v>4600000</v>
      </c>
      <c r="AB87">
        <v>4970000</v>
      </c>
      <c r="AC87">
        <v>4360000</v>
      </c>
      <c r="AD87">
        <v>4480000</v>
      </c>
      <c r="AE87">
        <v>4410000</v>
      </c>
      <c r="AF87">
        <v>1210000</v>
      </c>
      <c r="AG87">
        <v>1440000</v>
      </c>
      <c r="AH87">
        <v>1130000</v>
      </c>
      <c r="AI87" t="s">
        <v>237</v>
      </c>
      <c r="AK87">
        <v>12.3872</v>
      </c>
      <c r="AL87">
        <v>12.347087066666701</v>
      </c>
      <c r="AM87">
        <f t="shared" si="1"/>
        <v>4.0112933333299239E-2</v>
      </c>
      <c r="AN87">
        <v>41.055943900844802</v>
      </c>
      <c r="AO87">
        <v>42.042857142857102</v>
      </c>
      <c r="AP87" s="19" t="s">
        <v>234</v>
      </c>
    </row>
    <row r="88" spans="1:42" ht="57.75" customHeight="1">
      <c r="B88">
        <f t="shared" si="0"/>
        <v>0</v>
      </c>
      <c r="C88" s="19" t="s">
        <v>238</v>
      </c>
      <c r="D88" t="s">
        <v>239</v>
      </c>
      <c r="E88" s="17">
        <v>80</v>
      </c>
      <c r="F88">
        <v>10</v>
      </c>
      <c r="G88">
        <v>2</v>
      </c>
      <c r="H88">
        <v>0</v>
      </c>
      <c r="I88">
        <v>2</v>
      </c>
      <c r="J88">
        <v>11</v>
      </c>
      <c r="K88">
        <v>9</v>
      </c>
      <c r="L88">
        <v>18</v>
      </c>
      <c r="M88">
        <v>2.5</v>
      </c>
      <c r="N88">
        <v>21.9</v>
      </c>
      <c r="O88" t="s">
        <v>240</v>
      </c>
      <c r="P88" t="s">
        <v>241</v>
      </c>
      <c r="Q88">
        <v>47818.6</v>
      </c>
      <c r="R88">
        <v>81912.3</v>
      </c>
      <c r="S88">
        <v>41052.400000000001</v>
      </c>
      <c r="T88">
        <v>51037.8</v>
      </c>
      <c r="U88">
        <v>58274</v>
      </c>
      <c r="V88">
        <v>50485.599999999999</v>
      </c>
      <c r="W88">
        <v>63042.5</v>
      </c>
      <c r="X88">
        <v>67780.7</v>
      </c>
      <c r="Y88">
        <v>58547.4</v>
      </c>
      <c r="Z88">
        <v>7837.07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242</v>
      </c>
      <c r="AK88">
        <v>7.71556</v>
      </c>
      <c r="AL88">
        <v>28.118097866666702</v>
      </c>
      <c r="AM88">
        <f t="shared" si="1"/>
        <v>20.402537866666702</v>
      </c>
      <c r="AN88">
        <v>21.516620001039499</v>
      </c>
      <c r="AO88">
        <v>5.42307692307692E-2</v>
      </c>
      <c r="AP88" s="19" t="s">
        <v>238</v>
      </c>
    </row>
    <row r="89" spans="1:42" ht="57.75" customHeight="1">
      <c r="B89">
        <f t="shared" si="0"/>
        <v>0</v>
      </c>
      <c r="C89" s="19" t="s">
        <v>243</v>
      </c>
      <c r="D89" t="s">
        <v>244</v>
      </c>
      <c r="E89" s="17">
        <v>91.667000000000002</v>
      </c>
      <c r="F89">
        <v>12</v>
      </c>
      <c r="G89">
        <v>1</v>
      </c>
      <c r="H89">
        <v>0</v>
      </c>
      <c r="I89">
        <v>1</v>
      </c>
      <c r="J89">
        <v>12</v>
      </c>
      <c r="K89">
        <v>134</v>
      </c>
      <c r="L89">
        <v>145</v>
      </c>
      <c r="M89">
        <v>2.1</v>
      </c>
      <c r="N89">
        <v>22.3</v>
      </c>
      <c r="O89" t="s">
        <v>243</v>
      </c>
      <c r="P89" t="s">
        <v>245</v>
      </c>
      <c r="Q89" s="6">
        <v>454280</v>
      </c>
      <c r="R89" s="6">
        <v>291793</v>
      </c>
      <c r="S89" s="6">
        <v>766658</v>
      </c>
      <c r="T89" s="6">
        <v>520561</v>
      </c>
      <c r="U89" s="6">
        <v>1680000</v>
      </c>
      <c r="V89" s="6">
        <v>464193</v>
      </c>
      <c r="W89" s="6">
        <v>494247</v>
      </c>
      <c r="X89" s="6">
        <v>519082</v>
      </c>
      <c r="Y89" s="6">
        <v>452327</v>
      </c>
      <c r="Z89" s="6">
        <v>661636</v>
      </c>
      <c r="AA89" s="6">
        <v>413388</v>
      </c>
      <c r="AB89" s="6">
        <v>3350000</v>
      </c>
      <c r="AC89" s="6">
        <v>1280000</v>
      </c>
      <c r="AD89" s="6">
        <v>9970000</v>
      </c>
      <c r="AE89" s="6">
        <v>5330000</v>
      </c>
      <c r="AF89" s="6">
        <v>3330000</v>
      </c>
      <c r="AG89" s="6">
        <v>883381</v>
      </c>
      <c r="AH89" s="6">
        <v>362986</v>
      </c>
      <c r="AI89" s="6" t="s">
        <v>246</v>
      </c>
      <c r="AK89">
        <v>13.432499999999999</v>
      </c>
      <c r="AL89">
        <v>13.5651567333333</v>
      </c>
      <c r="AM89">
        <f t="shared" si="1"/>
        <v>0.13265673333330064</v>
      </c>
      <c r="AN89">
        <v>40.851221187889401</v>
      </c>
      <c r="AO89">
        <v>56.1</v>
      </c>
      <c r="AP89" s="19" t="s">
        <v>243</v>
      </c>
    </row>
    <row r="90" spans="1:42" ht="57.75" customHeight="1">
      <c r="B90">
        <f t="shared" si="0"/>
        <v>1</v>
      </c>
      <c r="C90" s="19" t="s">
        <v>247</v>
      </c>
      <c r="D90" t="s">
        <v>248</v>
      </c>
      <c r="E90" s="17">
        <v>95.832999999999998</v>
      </c>
      <c r="F90">
        <v>24</v>
      </c>
      <c r="G90">
        <v>1</v>
      </c>
      <c r="H90">
        <v>0</v>
      </c>
      <c r="I90">
        <v>1</v>
      </c>
      <c r="J90">
        <v>24</v>
      </c>
      <c r="K90">
        <v>122</v>
      </c>
      <c r="L90">
        <v>145</v>
      </c>
      <c r="M90" s="1">
        <v>6.4300000000000003E-9</v>
      </c>
      <c r="N90">
        <v>46.2</v>
      </c>
      <c r="O90" t="s">
        <v>247</v>
      </c>
      <c r="P90" t="s">
        <v>249</v>
      </c>
      <c r="Q90" s="6">
        <v>0</v>
      </c>
      <c r="R90" s="6">
        <v>0</v>
      </c>
      <c r="S90" s="6">
        <v>0</v>
      </c>
      <c r="T90" s="6">
        <v>70806</v>
      </c>
      <c r="U90" s="6">
        <v>91973.9</v>
      </c>
      <c r="V90" s="6">
        <v>0</v>
      </c>
      <c r="W90" s="6">
        <v>123536</v>
      </c>
      <c r="X90" s="6">
        <v>129087</v>
      </c>
      <c r="Y90" s="6">
        <v>126491</v>
      </c>
      <c r="Z90" s="6">
        <v>256266</v>
      </c>
      <c r="AA90" s="6">
        <v>116720</v>
      </c>
      <c r="AB90" s="6">
        <v>719044</v>
      </c>
      <c r="AC90" s="6">
        <v>240890</v>
      </c>
      <c r="AD90" s="6">
        <v>2110000</v>
      </c>
      <c r="AE90" s="6">
        <v>1130000</v>
      </c>
      <c r="AF90" s="6">
        <v>2050000</v>
      </c>
      <c r="AG90" s="6">
        <v>427280</v>
      </c>
      <c r="AH90" s="6">
        <v>333282</v>
      </c>
      <c r="AI90" s="6" t="s">
        <v>246</v>
      </c>
      <c r="AK90">
        <v>30.456099999999999</v>
      </c>
      <c r="AL90">
        <v>30.4869612</v>
      </c>
      <c r="AM90">
        <f t="shared" si="1"/>
        <v>3.0861200000000366E-2</v>
      </c>
      <c r="AN90">
        <v>60.860743829042903</v>
      </c>
      <c r="AO90">
        <v>27.975000000000001</v>
      </c>
      <c r="AP90" s="19" t="s">
        <v>247</v>
      </c>
    </row>
    <row r="91" spans="1:42" ht="57.75" customHeight="1">
      <c r="B91">
        <f t="shared" si="0"/>
        <v>0</v>
      </c>
      <c r="C91" s="19" t="s">
        <v>250</v>
      </c>
      <c r="D91" t="s">
        <v>251</v>
      </c>
      <c r="E91" s="17">
        <v>78.570999999999998</v>
      </c>
      <c r="F91">
        <v>14</v>
      </c>
      <c r="G91">
        <v>3</v>
      </c>
      <c r="H91">
        <v>0</v>
      </c>
      <c r="I91">
        <v>3</v>
      </c>
      <c r="J91">
        <v>16</v>
      </c>
      <c r="K91">
        <v>103</v>
      </c>
      <c r="L91">
        <v>116</v>
      </c>
      <c r="M91">
        <v>0.05</v>
      </c>
      <c r="N91">
        <v>26.9</v>
      </c>
      <c r="O91" t="s">
        <v>252</v>
      </c>
      <c r="P91" t="s">
        <v>253</v>
      </c>
      <c r="Q91">
        <v>0</v>
      </c>
      <c r="R91">
        <v>0</v>
      </c>
      <c r="S91">
        <v>12597</v>
      </c>
      <c r="T91">
        <v>0</v>
      </c>
      <c r="U91">
        <v>6772.78</v>
      </c>
      <c r="V91">
        <v>2266.08</v>
      </c>
      <c r="W91">
        <v>0</v>
      </c>
      <c r="X91">
        <v>2515.2199999999998</v>
      </c>
      <c r="Y91">
        <v>5356.77</v>
      </c>
      <c r="Z91">
        <v>6728.88</v>
      </c>
      <c r="AA91">
        <v>24871.4</v>
      </c>
      <c r="AB91">
        <v>0</v>
      </c>
      <c r="AC91">
        <v>21415.599999999999</v>
      </c>
      <c r="AD91">
        <v>101067</v>
      </c>
      <c r="AE91">
        <v>11828</v>
      </c>
      <c r="AF91">
        <v>0</v>
      </c>
      <c r="AG91">
        <v>40567.5</v>
      </c>
      <c r="AH91">
        <v>49391.6</v>
      </c>
      <c r="AI91" t="s">
        <v>254</v>
      </c>
      <c r="AK91">
        <v>14.091100000000001</v>
      </c>
      <c r="AL91">
        <v>25.818242333333298</v>
      </c>
      <c r="AM91">
        <f t="shared" si="1"/>
        <v>11.727142333333298</v>
      </c>
      <c r="AN91">
        <v>27.279534015771901</v>
      </c>
      <c r="AO91">
        <v>7.5750000000000002</v>
      </c>
      <c r="AP91" s="19" t="s">
        <v>250</v>
      </c>
    </row>
    <row r="92" spans="1:42" ht="57.75" customHeight="1">
      <c r="B92">
        <f t="shared" si="0"/>
        <v>0</v>
      </c>
      <c r="C92" s="19" t="s">
        <v>255</v>
      </c>
      <c r="D92" t="s">
        <v>251</v>
      </c>
      <c r="E92" s="17">
        <v>75</v>
      </c>
      <c r="F92">
        <v>16</v>
      </c>
      <c r="G92">
        <v>4</v>
      </c>
      <c r="H92">
        <v>0</v>
      </c>
      <c r="I92">
        <v>1</v>
      </c>
      <c r="J92">
        <v>16</v>
      </c>
      <c r="K92">
        <v>101</v>
      </c>
      <c r="L92">
        <v>116</v>
      </c>
      <c r="M92">
        <v>3.2000000000000001E-2</v>
      </c>
      <c r="N92">
        <v>27.7</v>
      </c>
      <c r="O92" t="s">
        <v>255</v>
      </c>
      <c r="P92" t="s">
        <v>256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16901.8</v>
      </c>
      <c r="X92">
        <v>0</v>
      </c>
      <c r="Y92">
        <v>10948.2</v>
      </c>
      <c r="Z92">
        <v>35914.400000000001</v>
      </c>
      <c r="AA92">
        <v>0</v>
      </c>
      <c r="AB92">
        <v>0</v>
      </c>
      <c r="AC92">
        <v>50703.8</v>
      </c>
      <c r="AD92">
        <v>0</v>
      </c>
      <c r="AE92">
        <v>0</v>
      </c>
      <c r="AF92">
        <v>72754.100000000006</v>
      </c>
      <c r="AG92">
        <v>0</v>
      </c>
      <c r="AH92">
        <v>0</v>
      </c>
      <c r="AI92" t="s">
        <v>257</v>
      </c>
      <c r="AK92">
        <v>14.056800000000001</v>
      </c>
      <c r="AL92">
        <v>14.1250394</v>
      </c>
      <c r="AM92">
        <f t="shared" si="1"/>
        <v>6.8239399999999506E-2</v>
      </c>
      <c r="AN92">
        <v>32.393408807324299</v>
      </c>
      <c r="AO92">
        <v>28.35</v>
      </c>
      <c r="AP92" s="19" t="s">
        <v>255</v>
      </c>
    </row>
    <row r="93" spans="1:42" ht="57.75" customHeight="1">
      <c r="B93">
        <f t="shared" si="0"/>
        <v>0</v>
      </c>
      <c r="C93" s="19" t="s">
        <v>258</v>
      </c>
      <c r="D93" t="s">
        <v>259</v>
      </c>
      <c r="E93" s="17">
        <v>55.555999999999997</v>
      </c>
      <c r="F93">
        <v>18</v>
      </c>
      <c r="G93">
        <v>8</v>
      </c>
      <c r="H93">
        <v>0</v>
      </c>
      <c r="I93">
        <v>4</v>
      </c>
      <c r="J93">
        <v>21</v>
      </c>
      <c r="K93">
        <v>44</v>
      </c>
      <c r="L93">
        <v>61</v>
      </c>
      <c r="M93">
        <v>1.2</v>
      </c>
      <c r="N93">
        <v>23.5</v>
      </c>
      <c r="O93" t="s">
        <v>260</v>
      </c>
      <c r="P93" t="s">
        <v>261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457169</v>
      </c>
      <c r="AA93">
        <v>422440</v>
      </c>
      <c r="AB93">
        <v>407847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108758</v>
      </c>
      <c r="AI93" t="s">
        <v>262</v>
      </c>
      <c r="AK93">
        <v>29.8339</v>
      </c>
      <c r="AL93">
        <v>29.0191196666667</v>
      </c>
      <c r="AM93">
        <f t="shared" si="1"/>
        <v>0.81478033333329947</v>
      </c>
      <c r="AN93">
        <v>32.791421171095699</v>
      </c>
      <c r="AO93">
        <v>15.75</v>
      </c>
      <c r="AP93" s="19" t="s">
        <v>258</v>
      </c>
    </row>
    <row r="94" spans="1:42" ht="57.75" customHeight="1">
      <c r="B94">
        <f t="shared" si="0"/>
        <v>0</v>
      </c>
      <c r="C94" s="19" t="s">
        <v>263</v>
      </c>
      <c r="D94" t="s">
        <v>199</v>
      </c>
      <c r="E94" s="17">
        <v>92.856999999999999</v>
      </c>
      <c r="F94">
        <v>14</v>
      </c>
      <c r="G94">
        <v>1</v>
      </c>
      <c r="H94">
        <v>0</v>
      </c>
      <c r="I94">
        <v>1</v>
      </c>
      <c r="J94">
        <v>14</v>
      </c>
      <c r="K94">
        <v>122</v>
      </c>
      <c r="L94">
        <v>135</v>
      </c>
      <c r="M94">
        <v>1.4E-2</v>
      </c>
      <c r="N94">
        <v>28.5</v>
      </c>
      <c r="O94" t="s">
        <v>264</v>
      </c>
      <c r="P94" t="s">
        <v>265</v>
      </c>
      <c r="Q94">
        <v>262824</v>
      </c>
      <c r="R94">
        <v>219428</v>
      </c>
      <c r="S94">
        <v>277107</v>
      </c>
      <c r="T94">
        <v>366884</v>
      </c>
      <c r="U94">
        <v>424349</v>
      </c>
      <c r="V94">
        <v>308320</v>
      </c>
      <c r="W94">
        <v>425876</v>
      </c>
      <c r="X94">
        <v>483201</v>
      </c>
      <c r="Y94">
        <v>448858</v>
      </c>
      <c r="Z94">
        <v>132192</v>
      </c>
      <c r="AA94">
        <v>203550</v>
      </c>
      <c r="AB94">
        <v>131436</v>
      </c>
      <c r="AC94">
        <v>309161</v>
      </c>
      <c r="AD94">
        <v>321848</v>
      </c>
      <c r="AE94">
        <v>405109</v>
      </c>
      <c r="AF94">
        <v>217414</v>
      </c>
      <c r="AG94">
        <v>282252</v>
      </c>
      <c r="AH94">
        <v>217872</v>
      </c>
      <c r="AI94" t="s">
        <v>266</v>
      </c>
      <c r="AK94">
        <v>6.9607799999999997</v>
      </c>
      <c r="AL94">
        <v>23.8636910666667</v>
      </c>
      <c r="AM94">
        <f t="shared" si="1"/>
        <v>16.9029110666667</v>
      </c>
      <c r="AN94">
        <v>17.642093548513301</v>
      </c>
      <c r="AO94">
        <v>0.55000000000000004</v>
      </c>
      <c r="AP94" s="19" t="s">
        <v>263</v>
      </c>
    </row>
    <row r="95" spans="1:42" ht="57.75" customHeight="1">
      <c r="B95">
        <f t="shared" si="0"/>
        <v>0</v>
      </c>
      <c r="C95" s="19" t="s">
        <v>267</v>
      </c>
      <c r="D95" t="s">
        <v>268</v>
      </c>
      <c r="E95" s="17">
        <v>94.444000000000003</v>
      </c>
      <c r="F95">
        <v>18</v>
      </c>
      <c r="G95">
        <v>1</v>
      </c>
      <c r="H95">
        <v>0</v>
      </c>
      <c r="I95">
        <v>1</v>
      </c>
      <c r="J95">
        <v>18</v>
      </c>
      <c r="K95">
        <v>68</v>
      </c>
      <c r="L95">
        <v>85</v>
      </c>
      <c r="M95" s="1">
        <v>4.07E-5</v>
      </c>
      <c r="N95">
        <v>35.4</v>
      </c>
      <c r="O95" t="s">
        <v>267</v>
      </c>
      <c r="P95" t="s">
        <v>269</v>
      </c>
      <c r="Q95">
        <v>0</v>
      </c>
      <c r="R95">
        <v>0</v>
      </c>
      <c r="S95">
        <v>0</v>
      </c>
      <c r="T95">
        <v>0</v>
      </c>
      <c r="U95">
        <v>9980000</v>
      </c>
      <c r="V95">
        <v>5170000</v>
      </c>
      <c r="W95">
        <v>2530000</v>
      </c>
      <c r="X95">
        <v>2740000</v>
      </c>
      <c r="Y95">
        <v>0</v>
      </c>
      <c r="Z95">
        <v>0</v>
      </c>
      <c r="AA95">
        <v>13400000</v>
      </c>
      <c r="AB95">
        <v>0</v>
      </c>
      <c r="AC95">
        <v>0</v>
      </c>
      <c r="AD95">
        <v>33300000</v>
      </c>
      <c r="AE95">
        <v>0</v>
      </c>
      <c r="AF95">
        <v>0</v>
      </c>
      <c r="AG95">
        <v>0</v>
      </c>
      <c r="AH95">
        <v>7830000</v>
      </c>
      <c r="AI95" t="s">
        <v>270</v>
      </c>
      <c r="AK95">
        <v>21.021599999999999</v>
      </c>
      <c r="AL95">
        <v>30.6226910666667</v>
      </c>
      <c r="AM95">
        <f t="shared" si="1"/>
        <v>9.6010910666667009</v>
      </c>
      <c r="AN95">
        <v>16.978878843199499</v>
      </c>
      <c r="AO95">
        <v>2.7111111111111099</v>
      </c>
      <c r="AP95" s="19" t="s">
        <v>267</v>
      </c>
    </row>
    <row r="96" spans="1:42" ht="57.75" customHeight="1">
      <c r="B96">
        <f t="shared" si="0"/>
        <v>0</v>
      </c>
      <c r="C96" s="19" t="s">
        <v>271</v>
      </c>
      <c r="D96" t="s">
        <v>272</v>
      </c>
      <c r="E96" s="17">
        <v>95.238</v>
      </c>
      <c r="F96">
        <v>21</v>
      </c>
      <c r="G96">
        <v>1</v>
      </c>
      <c r="H96">
        <v>0</v>
      </c>
      <c r="I96">
        <v>1</v>
      </c>
      <c r="J96">
        <v>21</v>
      </c>
      <c r="K96">
        <v>54</v>
      </c>
      <c r="L96">
        <v>74</v>
      </c>
      <c r="M96" s="1">
        <v>3.2199999999999997E-8</v>
      </c>
      <c r="N96">
        <v>43.9</v>
      </c>
      <c r="O96" t="s">
        <v>271</v>
      </c>
      <c r="P96" t="s">
        <v>273</v>
      </c>
      <c r="Q96" s="6">
        <v>0</v>
      </c>
      <c r="R96" s="6">
        <v>50594.2</v>
      </c>
      <c r="S96" s="6">
        <v>0</v>
      </c>
      <c r="T96" s="6">
        <v>0</v>
      </c>
      <c r="U96" s="6">
        <v>36627.9</v>
      </c>
      <c r="V96" s="6">
        <v>0</v>
      </c>
      <c r="W96" s="6">
        <v>33756.199999999997</v>
      </c>
      <c r="X96" s="6">
        <v>31492.400000000001</v>
      </c>
      <c r="Y96" s="6">
        <v>51304.7</v>
      </c>
      <c r="Z96" s="6">
        <v>0</v>
      </c>
      <c r="AA96" s="6">
        <v>87024.8</v>
      </c>
      <c r="AB96" s="6">
        <v>0</v>
      </c>
      <c r="AC96" s="6">
        <v>93288.8</v>
      </c>
      <c r="AD96" s="6">
        <v>317254</v>
      </c>
      <c r="AE96" s="6">
        <v>128388</v>
      </c>
      <c r="AF96" s="6">
        <v>90441.5</v>
      </c>
      <c r="AG96" s="6">
        <v>149091</v>
      </c>
      <c r="AH96" s="6">
        <v>155514</v>
      </c>
      <c r="AI96" s="6" t="s">
        <v>274</v>
      </c>
      <c r="AK96">
        <v>17.517299999999999</v>
      </c>
      <c r="AL96">
        <v>25.755880133333299</v>
      </c>
      <c r="AM96">
        <f t="shared" si="1"/>
        <v>8.2385801333333006</v>
      </c>
      <c r="AN96">
        <v>28.857820839868801</v>
      </c>
      <c r="AO96">
        <v>5.1619047619047604</v>
      </c>
      <c r="AP96" s="19" t="s">
        <v>271</v>
      </c>
    </row>
    <row r="97" spans="1:42" ht="57.75" customHeight="1">
      <c r="B97">
        <f t="shared" si="0"/>
        <v>1</v>
      </c>
      <c r="C97" s="19" t="s">
        <v>275</v>
      </c>
      <c r="D97" t="s">
        <v>272</v>
      </c>
      <c r="E97" s="17">
        <v>93.332999999999998</v>
      </c>
      <c r="F97">
        <v>15</v>
      </c>
      <c r="G97">
        <v>1</v>
      </c>
      <c r="H97">
        <v>0</v>
      </c>
      <c r="I97">
        <v>1</v>
      </c>
      <c r="J97">
        <v>15</v>
      </c>
      <c r="K97">
        <v>54</v>
      </c>
      <c r="L97">
        <v>68</v>
      </c>
      <c r="M97">
        <v>2E-3</v>
      </c>
      <c r="N97">
        <v>31.2</v>
      </c>
      <c r="O97" t="s">
        <v>275</v>
      </c>
      <c r="P97" t="s">
        <v>276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715.16899999999998</v>
      </c>
      <c r="X97" s="6">
        <v>2167.5100000000002</v>
      </c>
      <c r="Y97" s="6">
        <v>0</v>
      </c>
      <c r="Z97" s="6">
        <v>1953.64</v>
      </c>
      <c r="AA97" s="6">
        <v>885.89099999999996</v>
      </c>
      <c r="AB97" s="6">
        <v>0</v>
      </c>
      <c r="AC97" s="6">
        <v>1637.94</v>
      </c>
      <c r="AD97" s="6">
        <v>6248.35</v>
      </c>
      <c r="AE97" s="6">
        <v>1662.62</v>
      </c>
      <c r="AF97" s="6">
        <v>1093.43</v>
      </c>
      <c r="AG97" s="6">
        <v>1284.8399999999999</v>
      </c>
      <c r="AH97" s="6">
        <v>2937.4</v>
      </c>
      <c r="AI97" s="6" t="s">
        <v>274</v>
      </c>
      <c r="AK97">
        <v>18.480699999999999</v>
      </c>
      <c r="AL97">
        <v>27.345228533333302</v>
      </c>
      <c r="AM97">
        <f t="shared" si="1"/>
        <v>8.8645285333333028</v>
      </c>
      <c r="AN97">
        <v>21.356541427827199</v>
      </c>
      <c r="AO97">
        <v>6.48</v>
      </c>
      <c r="AP97" s="19" t="s">
        <v>275</v>
      </c>
    </row>
    <row r="98" spans="1:42" ht="57.75" customHeight="1">
      <c r="B98">
        <f t="shared" si="0"/>
        <v>0</v>
      </c>
      <c r="C98" s="19" t="s">
        <v>277</v>
      </c>
      <c r="D98" t="s">
        <v>278</v>
      </c>
      <c r="E98" s="17">
        <v>86.667000000000002</v>
      </c>
      <c r="F98">
        <v>15</v>
      </c>
      <c r="G98">
        <v>2</v>
      </c>
      <c r="H98">
        <v>0</v>
      </c>
      <c r="I98">
        <v>1</v>
      </c>
      <c r="J98">
        <v>15</v>
      </c>
      <c r="K98">
        <v>66</v>
      </c>
      <c r="L98">
        <v>80</v>
      </c>
      <c r="M98">
        <v>6.0000000000000001E-3</v>
      </c>
      <c r="N98">
        <v>29.6</v>
      </c>
      <c r="O98" t="s">
        <v>277</v>
      </c>
      <c r="P98" t="s">
        <v>279</v>
      </c>
      <c r="Q98">
        <v>0</v>
      </c>
      <c r="R98">
        <v>0</v>
      </c>
      <c r="S98">
        <v>0</v>
      </c>
      <c r="T98">
        <v>141558</v>
      </c>
      <c r="U98">
        <v>0</v>
      </c>
      <c r="V98">
        <v>0</v>
      </c>
      <c r="W98">
        <v>229912</v>
      </c>
      <c r="X98">
        <v>0</v>
      </c>
      <c r="Y98">
        <v>0</v>
      </c>
      <c r="Z98">
        <v>0</v>
      </c>
      <c r="AA98">
        <v>1020000</v>
      </c>
      <c r="AB98">
        <v>0</v>
      </c>
      <c r="AC98">
        <v>1000000</v>
      </c>
      <c r="AD98">
        <v>1740000</v>
      </c>
      <c r="AE98">
        <v>940900</v>
      </c>
      <c r="AF98">
        <v>327696</v>
      </c>
      <c r="AG98">
        <v>462883</v>
      </c>
      <c r="AH98">
        <v>457753</v>
      </c>
      <c r="AI98" t="s">
        <v>280</v>
      </c>
      <c r="AK98">
        <v>16.310099999999998</v>
      </c>
      <c r="AL98">
        <v>24.9832334</v>
      </c>
      <c r="AM98">
        <f t="shared" si="1"/>
        <v>8.6731334000000011</v>
      </c>
      <c r="AN98">
        <v>23.012899058811499</v>
      </c>
      <c r="AO98">
        <v>5.2</v>
      </c>
      <c r="AP98" s="19" t="s">
        <v>277</v>
      </c>
    </row>
    <row r="99" spans="1:42" ht="57.75" customHeight="1">
      <c r="B99">
        <f t="shared" si="0"/>
        <v>0</v>
      </c>
      <c r="C99" s="19" t="s">
        <v>281</v>
      </c>
      <c r="D99" t="s">
        <v>282</v>
      </c>
      <c r="E99" s="17">
        <v>93.332999999999998</v>
      </c>
      <c r="F99">
        <v>15</v>
      </c>
      <c r="G99">
        <v>1</v>
      </c>
      <c r="H99">
        <v>0</v>
      </c>
      <c r="I99">
        <v>1</v>
      </c>
      <c r="J99">
        <v>15</v>
      </c>
      <c r="K99">
        <v>25</v>
      </c>
      <c r="L99">
        <v>39</v>
      </c>
      <c r="M99" s="1">
        <v>2.2499999999999999E-4</v>
      </c>
      <c r="N99">
        <v>33.5</v>
      </c>
      <c r="O99" t="s">
        <v>281</v>
      </c>
      <c r="P99" t="s">
        <v>283</v>
      </c>
      <c r="Q99">
        <v>293842</v>
      </c>
      <c r="R99">
        <v>278366</v>
      </c>
      <c r="S99">
        <v>251765</v>
      </c>
      <c r="T99">
        <v>274676</v>
      </c>
      <c r="U99">
        <v>249384</v>
      </c>
      <c r="V99">
        <v>199942</v>
      </c>
      <c r="W99">
        <v>272626</v>
      </c>
      <c r="X99">
        <v>266700</v>
      </c>
      <c r="Y99">
        <v>300956</v>
      </c>
      <c r="Z99">
        <v>92049.600000000006</v>
      </c>
      <c r="AA99">
        <v>110399</v>
      </c>
      <c r="AB99">
        <v>140058</v>
      </c>
      <c r="AC99">
        <v>90860.7</v>
      </c>
      <c r="AD99">
        <v>244499</v>
      </c>
      <c r="AE99">
        <v>94991.8</v>
      </c>
      <c r="AF99">
        <v>203941</v>
      </c>
      <c r="AG99">
        <v>106219</v>
      </c>
      <c r="AH99">
        <v>192846</v>
      </c>
      <c r="AI99" t="s">
        <v>284</v>
      </c>
      <c r="AK99">
        <v>14.251799999999999</v>
      </c>
      <c r="AL99">
        <v>29.731665</v>
      </c>
      <c r="AM99">
        <f t="shared" si="1"/>
        <v>15.479865</v>
      </c>
      <c r="AN99">
        <v>22.040298067611399</v>
      </c>
      <c r="AO99">
        <v>14.75</v>
      </c>
      <c r="AP99" s="19" t="s">
        <v>281</v>
      </c>
    </row>
    <row r="100" spans="1:42" ht="57.75" customHeight="1">
      <c r="B100">
        <f t="shared" si="0"/>
        <v>0</v>
      </c>
      <c r="C100" s="19" t="s">
        <v>285</v>
      </c>
      <c r="D100" t="s">
        <v>286</v>
      </c>
      <c r="E100" s="17">
        <v>93.332999999999998</v>
      </c>
      <c r="F100">
        <v>15</v>
      </c>
      <c r="G100">
        <v>1</v>
      </c>
      <c r="H100">
        <v>0</v>
      </c>
      <c r="I100">
        <v>1</v>
      </c>
      <c r="J100">
        <v>15</v>
      </c>
      <c r="K100">
        <v>101</v>
      </c>
      <c r="L100">
        <v>115</v>
      </c>
      <c r="M100" s="1">
        <v>2.7900000000000001E-4</v>
      </c>
      <c r="N100">
        <v>33.1</v>
      </c>
      <c r="O100" t="s">
        <v>287</v>
      </c>
      <c r="P100" t="s">
        <v>288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342981</v>
      </c>
      <c r="AD100">
        <v>354261</v>
      </c>
      <c r="AE100">
        <v>0</v>
      </c>
      <c r="AF100">
        <v>407650</v>
      </c>
      <c r="AG100">
        <v>0</v>
      </c>
      <c r="AH100">
        <v>189400</v>
      </c>
      <c r="AI100" t="s">
        <v>289</v>
      </c>
      <c r="AK100">
        <v>15.855700000000001</v>
      </c>
      <c r="AL100">
        <v>30.648142333333301</v>
      </c>
      <c r="AM100">
        <f t="shared" si="1"/>
        <v>14.7924423333333</v>
      </c>
      <c r="AN100">
        <v>19.7886924324633</v>
      </c>
      <c r="AO100">
        <v>1.425</v>
      </c>
      <c r="AP100" s="19" t="s">
        <v>285</v>
      </c>
    </row>
    <row r="101" spans="1:42" ht="57.75" customHeight="1">
      <c r="A101">
        <v>1</v>
      </c>
      <c r="B101">
        <f t="shared" si="0"/>
        <v>0</v>
      </c>
      <c r="C101" s="19" t="s">
        <v>290</v>
      </c>
      <c r="D101" t="s">
        <v>291</v>
      </c>
      <c r="E101" s="17">
        <v>96.153999999999996</v>
      </c>
      <c r="F101">
        <v>26</v>
      </c>
      <c r="G101">
        <v>0</v>
      </c>
      <c r="H101">
        <v>1</v>
      </c>
      <c r="I101">
        <v>1</v>
      </c>
      <c r="J101">
        <v>25</v>
      </c>
      <c r="K101">
        <v>8</v>
      </c>
      <c r="L101">
        <v>33</v>
      </c>
      <c r="M101" s="1">
        <v>6.2000000000000003E-10</v>
      </c>
      <c r="N101">
        <v>50.1</v>
      </c>
      <c r="O101" t="s">
        <v>292</v>
      </c>
      <c r="P101" t="s">
        <v>293</v>
      </c>
      <c r="Q101">
        <v>46162.400000000001</v>
      </c>
      <c r="R101">
        <v>57456.1</v>
      </c>
      <c r="S101">
        <v>16842.599999999999</v>
      </c>
      <c r="T101">
        <v>56583.9</v>
      </c>
      <c r="U101">
        <v>54093.3</v>
      </c>
      <c r="V101">
        <v>62523.6</v>
      </c>
      <c r="W101">
        <v>62349.599999999999</v>
      </c>
      <c r="X101">
        <v>78775.7</v>
      </c>
      <c r="Y101">
        <v>74922.2</v>
      </c>
      <c r="Z101">
        <v>9671.68</v>
      </c>
      <c r="AA101">
        <v>10461.5</v>
      </c>
      <c r="AB101">
        <v>0</v>
      </c>
      <c r="AC101">
        <v>0</v>
      </c>
      <c r="AD101">
        <v>14182.5</v>
      </c>
      <c r="AE101">
        <v>6435.93</v>
      </c>
      <c r="AF101">
        <v>0</v>
      </c>
      <c r="AG101">
        <v>0</v>
      </c>
      <c r="AH101">
        <v>0</v>
      </c>
      <c r="AI101" t="s">
        <v>294</v>
      </c>
      <c r="AK101">
        <v>23.073599999999999</v>
      </c>
      <c r="AL101">
        <v>23.2611554666667</v>
      </c>
      <c r="AM101">
        <f t="shared" si="1"/>
        <v>0.18755546666670142</v>
      </c>
      <c r="AN101">
        <v>38.224995631012099</v>
      </c>
      <c r="AO101">
        <v>24.3</v>
      </c>
      <c r="AP101" s="19" t="s">
        <v>290</v>
      </c>
    </row>
    <row r="102" spans="1:42" ht="57.75" customHeight="1">
      <c r="B102">
        <f t="shared" si="0"/>
        <v>0</v>
      </c>
      <c r="C102" s="19" t="s">
        <v>295</v>
      </c>
      <c r="D102" t="s">
        <v>74</v>
      </c>
      <c r="E102" s="17">
        <v>93.332999999999998</v>
      </c>
      <c r="F102">
        <v>15</v>
      </c>
      <c r="G102">
        <v>1</v>
      </c>
      <c r="H102">
        <v>0</v>
      </c>
      <c r="I102">
        <v>1</v>
      </c>
      <c r="J102">
        <v>15</v>
      </c>
      <c r="K102">
        <v>24</v>
      </c>
      <c r="L102">
        <v>38</v>
      </c>
      <c r="M102" s="1">
        <v>1.06E-4</v>
      </c>
      <c r="N102">
        <v>34.299999999999997</v>
      </c>
      <c r="O102" t="s">
        <v>295</v>
      </c>
      <c r="P102" t="s">
        <v>296</v>
      </c>
      <c r="Q102">
        <v>0</v>
      </c>
      <c r="R102">
        <v>0</v>
      </c>
      <c r="S102">
        <v>0</v>
      </c>
      <c r="T102">
        <v>191269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328783</v>
      </c>
      <c r="AE102">
        <v>280659</v>
      </c>
      <c r="AF102">
        <v>0</v>
      </c>
      <c r="AG102">
        <v>0</v>
      </c>
      <c r="AH102">
        <v>0</v>
      </c>
      <c r="AI102" t="s">
        <v>297</v>
      </c>
      <c r="AK102">
        <v>24.338100000000001</v>
      </c>
      <c r="AL102">
        <v>24.512317466666701</v>
      </c>
      <c r="AM102">
        <f t="shared" si="1"/>
        <v>0.17421746666670046</v>
      </c>
      <c r="AN102">
        <v>22.9757638871959</v>
      </c>
      <c r="AO102">
        <v>23.4</v>
      </c>
      <c r="AP102" s="19" t="s">
        <v>295</v>
      </c>
    </row>
    <row r="103" spans="1:42" ht="57.75" customHeight="1">
      <c r="B103">
        <f t="shared" si="0"/>
        <v>0</v>
      </c>
      <c r="C103" s="19" t="s">
        <v>298</v>
      </c>
      <c r="D103" t="s">
        <v>132</v>
      </c>
      <c r="E103" s="17">
        <v>88</v>
      </c>
      <c r="F103">
        <v>25</v>
      </c>
      <c r="G103">
        <v>3</v>
      </c>
      <c r="H103">
        <v>0</v>
      </c>
      <c r="I103">
        <v>1</v>
      </c>
      <c r="J103">
        <v>25</v>
      </c>
      <c r="K103">
        <v>58</v>
      </c>
      <c r="L103">
        <v>82</v>
      </c>
      <c r="M103" s="1">
        <v>3.6800000000000002E-10</v>
      </c>
      <c r="N103">
        <v>48.9</v>
      </c>
      <c r="O103" t="s">
        <v>298</v>
      </c>
      <c r="P103" t="s">
        <v>299</v>
      </c>
      <c r="Q103">
        <v>0</v>
      </c>
      <c r="R103">
        <v>0</v>
      </c>
      <c r="S103">
        <v>0</v>
      </c>
      <c r="T103">
        <v>3268.34</v>
      </c>
      <c r="U103">
        <v>4342.74</v>
      </c>
      <c r="V103">
        <v>0</v>
      </c>
      <c r="W103">
        <v>2877.93</v>
      </c>
      <c r="X103">
        <v>0</v>
      </c>
      <c r="Y103">
        <v>0</v>
      </c>
      <c r="Z103">
        <v>0</v>
      </c>
      <c r="AA103">
        <v>0</v>
      </c>
      <c r="AB103">
        <v>4255.2299999999996</v>
      </c>
      <c r="AC103">
        <v>0</v>
      </c>
      <c r="AD103">
        <v>24859.599999999999</v>
      </c>
      <c r="AE103">
        <v>508878</v>
      </c>
      <c r="AF103">
        <v>136691</v>
      </c>
      <c r="AG103">
        <v>281836</v>
      </c>
      <c r="AH103">
        <v>109737</v>
      </c>
      <c r="AI103" t="s">
        <v>300</v>
      </c>
      <c r="AK103">
        <v>23.2164</v>
      </c>
      <c r="AL103">
        <v>28.820754333333301</v>
      </c>
      <c r="AM103">
        <f t="shared" si="1"/>
        <v>5.6043543333333012</v>
      </c>
      <c r="AN103">
        <v>32.781039878699303</v>
      </c>
      <c r="AO103">
        <v>4.1760000000000002</v>
      </c>
      <c r="AP103" s="19" t="s">
        <v>298</v>
      </c>
    </row>
    <row r="104" spans="1:42" ht="57.75" customHeight="1">
      <c r="B104">
        <f t="shared" si="0"/>
        <v>0</v>
      </c>
      <c r="C104" s="19" t="s">
        <v>301</v>
      </c>
      <c r="D104" t="s">
        <v>302</v>
      </c>
      <c r="E104" s="17">
        <v>95.454999999999998</v>
      </c>
      <c r="F104">
        <v>22</v>
      </c>
      <c r="G104">
        <v>1</v>
      </c>
      <c r="H104">
        <v>0</v>
      </c>
      <c r="I104">
        <v>1</v>
      </c>
      <c r="J104">
        <v>22</v>
      </c>
      <c r="K104">
        <v>62</v>
      </c>
      <c r="L104">
        <v>83</v>
      </c>
      <c r="M104" s="1">
        <v>1.2199999999999999E-9</v>
      </c>
      <c r="N104">
        <v>47.4</v>
      </c>
      <c r="O104" t="s">
        <v>301</v>
      </c>
      <c r="P104" t="s">
        <v>303</v>
      </c>
      <c r="Q104" s="6">
        <v>0</v>
      </c>
      <c r="R104" s="6">
        <v>0</v>
      </c>
      <c r="S104" s="6">
        <v>0</v>
      </c>
      <c r="T104" s="6">
        <v>0</v>
      </c>
      <c r="U104" s="6">
        <v>1692.96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188292</v>
      </c>
      <c r="AB104" s="6">
        <v>0</v>
      </c>
      <c r="AC104" s="6">
        <v>1047.78</v>
      </c>
      <c r="AD104" s="6">
        <v>0</v>
      </c>
      <c r="AE104" s="6">
        <v>0</v>
      </c>
      <c r="AF104" s="6">
        <v>86718.6</v>
      </c>
      <c r="AG104" s="6">
        <v>2942.11</v>
      </c>
      <c r="AH104" s="6">
        <v>0</v>
      </c>
      <c r="AI104" s="6" t="s">
        <v>304</v>
      </c>
      <c r="AK104">
        <v>26.3216</v>
      </c>
      <c r="AL104">
        <v>29.0811699333333</v>
      </c>
      <c r="AM104">
        <f t="shared" si="1"/>
        <v>2.7595699333332995</v>
      </c>
      <c r="AN104">
        <v>38.050219646473401</v>
      </c>
      <c r="AO104">
        <v>22.397727272727199</v>
      </c>
      <c r="AP104" s="19" t="s">
        <v>301</v>
      </c>
    </row>
    <row r="105" spans="1:42" ht="57.75" customHeight="1">
      <c r="B105">
        <f t="shared" ref="B105:B168" si="2">IF(AI105=AI104,1,0)</f>
        <v>1</v>
      </c>
      <c r="C105" s="19" t="s">
        <v>305</v>
      </c>
      <c r="D105" t="s">
        <v>306</v>
      </c>
      <c r="E105" s="17">
        <v>81.25</v>
      </c>
      <c r="F105">
        <v>16</v>
      </c>
      <c r="G105">
        <v>3</v>
      </c>
      <c r="H105">
        <v>0</v>
      </c>
      <c r="I105">
        <v>1</v>
      </c>
      <c r="J105">
        <v>16</v>
      </c>
      <c r="K105">
        <v>4</v>
      </c>
      <c r="L105">
        <v>19</v>
      </c>
      <c r="M105" s="1">
        <v>2.42E-4</v>
      </c>
      <c r="N105">
        <v>33.5</v>
      </c>
      <c r="O105" t="s">
        <v>305</v>
      </c>
      <c r="P105" t="s">
        <v>307</v>
      </c>
      <c r="Q105" s="6">
        <v>60764</v>
      </c>
      <c r="R105" s="6">
        <v>31647.4</v>
      </c>
      <c r="S105" s="6">
        <v>44930.8</v>
      </c>
      <c r="T105" s="6">
        <v>10843.9</v>
      </c>
      <c r="U105" s="6">
        <v>16169.9</v>
      </c>
      <c r="V105" s="6">
        <v>13319.9</v>
      </c>
      <c r="W105" s="6">
        <v>9787.6</v>
      </c>
      <c r="X105" s="6">
        <v>6238.18</v>
      </c>
      <c r="Y105" s="6">
        <v>10100.5</v>
      </c>
      <c r="Z105" s="6">
        <v>71351.600000000006</v>
      </c>
      <c r="AA105" s="6">
        <v>75098.5</v>
      </c>
      <c r="AB105" s="6">
        <v>92100.1</v>
      </c>
      <c r="AC105" s="6">
        <v>62722.3</v>
      </c>
      <c r="AD105" s="6">
        <v>77103</v>
      </c>
      <c r="AE105" s="6">
        <v>65629</v>
      </c>
      <c r="AF105" s="6">
        <v>60376.1</v>
      </c>
      <c r="AG105" s="6">
        <v>63517.8</v>
      </c>
      <c r="AH105" s="6">
        <v>89887.2</v>
      </c>
      <c r="AI105" s="6" t="s">
        <v>304</v>
      </c>
      <c r="AK105">
        <v>16.329599999999999</v>
      </c>
      <c r="AL105">
        <v>30.005478533333299</v>
      </c>
      <c r="AM105">
        <f t="shared" ref="AM105:AM168" si="3">ABS(AK105-AL105)</f>
        <v>13.6758785333333</v>
      </c>
      <c r="AN105">
        <v>14.7427197584339</v>
      </c>
      <c r="AO105">
        <v>1.90625E-2</v>
      </c>
      <c r="AP105" s="19" t="s">
        <v>305</v>
      </c>
    </row>
    <row r="106" spans="1:42" ht="57.75" customHeight="1">
      <c r="B106">
        <f t="shared" si="2"/>
        <v>0</v>
      </c>
      <c r="C106" s="19" t="s">
        <v>308</v>
      </c>
      <c r="D106" t="s">
        <v>196</v>
      </c>
      <c r="E106" s="17">
        <v>95</v>
      </c>
      <c r="F106">
        <v>20</v>
      </c>
      <c r="G106">
        <v>1</v>
      </c>
      <c r="H106">
        <v>0</v>
      </c>
      <c r="I106">
        <v>1</v>
      </c>
      <c r="J106">
        <v>20</v>
      </c>
      <c r="K106">
        <v>19</v>
      </c>
      <c r="L106">
        <v>38</v>
      </c>
      <c r="M106" s="1">
        <v>5.3799999999999999E-8</v>
      </c>
      <c r="N106">
        <v>42.7</v>
      </c>
      <c r="O106" t="s">
        <v>308</v>
      </c>
      <c r="P106" t="s">
        <v>309</v>
      </c>
      <c r="Q106" s="18">
        <v>0</v>
      </c>
      <c r="R106" s="18">
        <v>0</v>
      </c>
      <c r="S106" s="18">
        <v>0</v>
      </c>
      <c r="T106" s="18">
        <v>3827.12</v>
      </c>
      <c r="U106" s="18">
        <v>151254</v>
      </c>
      <c r="V106" s="18">
        <v>156284</v>
      </c>
      <c r="W106" s="18">
        <v>0</v>
      </c>
      <c r="X106" s="18">
        <v>40040.5</v>
      </c>
      <c r="Y106" s="18">
        <v>0</v>
      </c>
      <c r="Z106" s="18">
        <v>0</v>
      </c>
      <c r="AA106" s="18">
        <v>0</v>
      </c>
      <c r="AB106" s="18">
        <v>0</v>
      </c>
      <c r="AC106" s="18">
        <v>0</v>
      </c>
      <c r="AD106" s="18">
        <v>0</v>
      </c>
      <c r="AE106" s="18">
        <v>0</v>
      </c>
      <c r="AF106" s="18">
        <v>0</v>
      </c>
      <c r="AG106" s="18">
        <v>221836</v>
      </c>
      <c r="AH106" s="18">
        <v>97162.2</v>
      </c>
      <c r="AI106" s="18" t="s">
        <v>310</v>
      </c>
      <c r="AK106">
        <v>22.505700000000001</v>
      </c>
      <c r="AL106">
        <v>26.085391066666698</v>
      </c>
      <c r="AM106">
        <f t="shared" si="3"/>
        <v>3.5796910666666975</v>
      </c>
      <c r="AN106">
        <v>30.744657587535801</v>
      </c>
      <c r="AO106">
        <v>12.3375</v>
      </c>
      <c r="AP106" s="19" t="s">
        <v>308</v>
      </c>
    </row>
    <row r="107" spans="1:42" ht="57.75" customHeight="1">
      <c r="B107">
        <f t="shared" si="2"/>
        <v>1</v>
      </c>
      <c r="C107" s="19" t="s">
        <v>311</v>
      </c>
      <c r="D107" t="s">
        <v>312</v>
      </c>
      <c r="E107" s="17">
        <v>86.667000000000002</v>
      </c>
      <c r="F107">
        <v>15</v>
      </c>
      <c r="G107">
        <v>2</v>
      </c>
      <c r="H107">
        <v>0</v>
      </c>
      <c r="I107">
        <v>2</v>
      </c>
      <c r="J107">
        <v>16</v>
      </c>
      <c r="K107">
        <v>46</v>
      </c>
      <c r="L107">
        <v>60</v>
      </c>
      <c r="M107">
        <v>2E-3</v>
      </c>
      <c r="N107">
        <v>30.8</v>
      </c>
      <c r="O107" t="s">
        <v>313</v>
      </c>
      <c r="P107" t="s">
        <v>314</v>
      </c>
      <c r="Q107" s="18">
        <v>692066</v>
      </c>
      <c r="R107" s="18">
        <v>473512</v>
      </c>
      <c r="S107" s="18">
        <v>505698</v>
      </c>
      <c r="T107" s="18">
        <v>263099</v>
      </c>
      <c r="U107" s="18">
        <v>464770</v>
      </c>
      <c r="V107" s="18">
        <v>188210</v>
      </c>
      <c r="W107" s="18">
        <v>155627</v>
      </c>
      <c r="X107" s="18">
        <v>210481</v>
      </c>
      <c r="Y107" s="18">
        <v>102554</v>
      </c>
      <c r="Z107" s="18">
        <v>248178</v>
      </c>
      <c r="AA107" s="18">
        <v>263772</v>
      </c>
      <c r="AB107" s="18">
        <v>432049</v>
      </c>
      <c r="AC107" s="18">
        <v>359356</v>
      </c>
      <c r="AD107" s="18">
        <v>803089</v>
      </c>
      <c r="AE107" s="18">
        <v>512848</v>
      </c>
      <c r="AF107" s="18">
        <v>751302</v>
      </c>
      <c r="AG107" s="18">
        <v>280221</v>
      </c>
      <c r="AH107" s="18">
        <v>424139</v>
      </c>
      <c r="AI107" s="18" t="s">
        <v>310</v>
      </c>
      <c r="AK107">
        <v>22.165099999999999</v>
      </c>
      <c r="AL107">
        <v>22.336143533333299</v>
      </c>
      <c r="AM107">
        <f t="shared" si="3"/>
        <v>0.17104353333330025</v>
      </c>
      <c r="AN107">
        <v>34.232589194603101</v>
      </c>
      <c r="AO107">
        <v>18.84375</v>
      </c>
      <c r="AP107" s="19" t="s">
        <v>311</v>
      </c>
    </row>
    <row r="108" spans="1:42" ht="57.75" customHeight="1">
      <c r="B108">
        <f t="shared" si="2"/>
        <v>1</v>
      </c>
      <c r="C108" s="19" t="s">
        <v>315</v>
      </c>
      <c r="D108" t="s">
        <v>316</v>
      </c>
      <c r="E108" s="17">
        <v>84.614999999999995</v>
      </c>
      <c r="F108">
        <v>13</v>
      </c>
      <c r="G108">
        <v>2</v>
      </c>
      <c r="H108">
        <v>0</v>
      </c>
      <c r="I108">
        <v>1</v>
      </c>
      <c r="J108">
        <v>13</v>
      </c>
      <c r="K108">
        <v>102</v>
      </c>
      <c r="L108">
        <v>114</v>
      </c>
      <c r="M108">
        <v>1.2999999999999999E-2</v>
      </c>
      <c r="N108">
        <v>28.5</v>
      </c>
      <c r="O108" t="s">
        <v>317</v>
      </c>
      <c r="P108" t="s">
        <v>318</v>
      </c>
      <c r="Q108" s="18">
        <v>0</v>
      </c>
      <c r="R108" s="18">
        <v>0</v>
      </c>
      <c r="S108" s="18">
        <v>0</v>
      </c>
      <c r="T108" s="18">
        <v>0</v>
      </c>
      <c r="U108" s="18">
        <v>2944.56</v>
      </c>
      <c r="V108" s="18">
        <v>1955.33</v>
      </c>
      <c r="W108" s="18">
        <v>0</v>
      </c>
      <c r="X108" s="18">
        <v>0</v>
      </c>
      <c r="Y108" s="18">
        <v>1001.98</v>
      </c>
      <c r="Z108" s="18">
        <v>0</v>
      </c>
      <c r="AA108" s="18">
        <v>0</v>
      </c>
      <c r="AB108" s="18">
        <v>0</v>
      </c>
      <c r="AC108" s="18">
        <v>0</v>
      </c>
      <c r="AD108" s="18">
        <v>108045</v>
      </c>
      <c r="AE108" s="18">
        <v>0</v>
      </c>
      <c r="AF108" s="18">
        <v>0</v>
      </c>
      <c r="AG108" s="18">
        <v>0</v>
      </c>
      <c r="AH108" s="18">
        <v>0</v>
      </c>
      <c r="AI108" s="18" t="s">
        <v>310</v>
      </c>
      <c r="AK108">
        <v>12.847099999999999</v>
      </c>
      <c r="AL108">
        <v>20.298330333333301</v>
      </c>
      <c r="AM108">
        <f t="shared" si="3"/>
        <v>7.4512303333333012</v>
      </c>
      <c r="AN108">
        <v>17.668703061300899</v>
      </c>
      <c r="AO108">
        <v>12.0535714285714</v>
      </c>
      <c r="AP108" s="19" t="s">
        <v>315</v>
      </c>
    </row>
    <row r="109" spans="1:42" ht="57.75" customHeight="1">
      <c r="B109">
        <f t="shared" si="2"/>
        <v>0</v>
      </c>
      <c r="C109" s="19" t="s">
        <v>319</v>
      </c>
      <c r="D109" t="s">
        <v>320</v>
      </c>
      <c r="E109" s="17">
        <v>88.888999999999996</v>
      </c>
      <c r="F109">
        <v>9</v>
      </c>
      <c r="G109">
        <v>1</v>
      </c>
      <c r="H109">
        <v>0</v>
      </c>
      <c r="I109">
        <v>1</v>
      </c>
      <c r="J109">
        <v>9</v>
      </c>
      <c r="K109">
        <v>24</v>
      </c>
      <c r="L109">
        <v>32</v>
      </c>
      <c r="M109">
        <v>2.7</v>
      </c>
      <c r="N109">
        <v>21.6</v>
      </c>
      <c r="O109" t="s">
        <v>319</v>
      </c>
      <c r="P109" t="s">
        <v>321</v>
      </c>
      <c r="Q109">
        <v>0</v>
      </c>
      <c r="R109">
        <v>0</v>
      </c>
      <c r="S109">
        <v>0</v>
      </c>
      <c r="T109">
        <v>0</v>
      </c>
      <c r="U109">
        <v>4610000</v>
      </c>
      <c r="V109">
        <v>1440000</v>
      </c>
      <c r="W109">
        <v>0</v>
      </c>
      <c r="X109">
        <v>29561.1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1460000</v>
      </c>
      <c r="AE109">
        <v>0</v>
      </c>
      <c r="AF109">
        <v>441839</v>
      </c>
      <c r="AG109">
        <v>666398</v>
      </c>
      <c r="AH109">
        <v>189134</v>
      </c>
      <c r="AI109" t="s">
        <v>322</v>
      </c>
      <c r="AK109">
        <v>5.8216999999999999</v>
      </c>
      <c r="AL109">
        <v>8.9991475999999899</v>
      </c>
      <c r="AM109">
        <f t="shared" si="3"/>
        <v>3.17744759999999</v>
      </c>
      <c r="AN109">
        <v>14.247690126273</v>
      </c>
      <c r="AO109">
        <v>0.85</v>
      </c>
      <c r="AP109" s="19" t="s">
        <v>319</v>
      </c>
    </row>
    <row r="110" spans="1:42" ht="57.75" customHeight="1">
      <c r="B110">
        <f t="shared" si="2"/>
        <v>0</v>
      </c>
      <c r="C110" s="19" t="s">
        <v>323</v>
      </c>
      <c r="D110" t="s">
        <v>324</v>
      </c>
      <c r="E110" s="17">
        <v>80</v>
      </c>
      <c r="F110">
        <v>15</v>
      </c>
      <c r="G110">
        <v>3</v>
      </c>
      <c r="H110">
        <v>0</v>
      </c>
      <c r="I110">
        <v>2</v>
      </c>
      <c r="J110">
        <v>16</v>
      </c>
      <c r="K110">
        <v>47</v>
      </c>
      <c r="L110">
        <v>61</v>
      </c>
      <c r="M110">
        <v>0.01</v>
      </c>
      <c r="N110">
        <v>28.9</v>
      </c>
      <c r="O110" t="s">
        <v>325</v>
      </c>
      <c r="P110" t="s">
        <v>326</v>
      </c>
      <c r="Q110">
        <v>0</v>
      </c>
      <c r="R110">
        <v>0</v>
      </c>
      <c r="S110">
        <v>0</v>
      </c>
      <c r="T110">
        <v>5633.08</v>
      </c>
      <c r="U110">
        <v>17107</v>
      </c>
      <c r="V110">
        <v>15133.5</v>
      </c>
      <c r="W110">
        <v>7726.24</v>
      </c>
      <c r="X110">
        <v>11551.6</v>
      </c>
      <c r="Y110">
        <v>12781.3</v>
      </c>
      <c r="Z110">
        <v>28061.9</v>
      </c>
      <c r="AA110">
        <v>58748</v>
      </c>
      <c r="AB110">
        <v>17158.7</v>
      </c>
      <c r="AC110">
        <v>58077.5</v>
      </c>
      <c r="AD110">
        <v>57287.1</v>
      </c>
      <c r="AE110">
        <v>54609.8</v>
      </c>
      <c r="AF110">
        <v>21984.5</v>
      </c>
      <c r="AG110">
        <v>21962.400000000001</v>
      </c>
      <c r="AH110">
        <v>18710.900000000001</v>
      </c>
      <c r="AI110" t="s">
        <v>327</v>
      </c>
      <c r="AK110">
        <v>15.6494</v>
      </c>
      <c r="AL110">
        <v>28.546233600000001</v>
      </c>
      <c r="AM110">
        <f t="shared" si="3"/>
        <v>12.896833600000001</v>
      </c>
      <c r="AN110">
        <v>25.260422290199902</v>
      </c>
      <c r="AO110">
        <v>4.6749999999999998</v>
      </c>
      <c r="AP110" s="19" t="s">
        <v>323</v>
      </c>
    </row>
    <row r="111" spans="1:42" ht="57.75" customHeight="1">
      <c r="B111">
        <f t="shared" si="2"/>
        <v>0</v>
      </c>
      <c r="C111" s="19" t="s">
        <v>328</v>
      </c>
      <c r="D111" t="s">
        <v>329</v>
      </c>
      <c r="E111" s="17">
        <v>63.636000000000003</v>
      </c>
      <c r="F111">
        <v>11</v>
      </c>
      <c r="G111">
        <v>4</v>
      </c>
      <c r="H111">
        <v>0</v>
      </c>
      <c r="I111">
        <v>1</v>
      </c>
      <c r="J111">
        <v>11</v>
      </c>
      <c r="K111">
        <v>115</v>
      </c>
      <c r="L111">
        <v>125</v>
      </c>
      <c r="M111">
        <v>6.8</v>
      </c>
      <c r="N111">
        <v>20.8</v>
      </c>
      <c r="O111" t="s">
        <v>330</v>
      </c>
      <c r="P111" t="s">
        <v>331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83547.600000000006</v>
      </c>
      <c r="W111">
        <v>23805.1</v>
      </c>
      <c r="X111">
        <v>967.64400000000001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539540</v>
      </c>
      <c r="AG111">
        <v>0</v>
      </c>
      <c r="AH111">
        <v>343327</v>
      </c>
      <c r="AI111" t="s">
        <v>332</v>
      </c>
      <c r="AK111">
        <v>17.7105</v>
      </c>
      <c r="AL111">
        <v>17.7302763333333</v>
      </c>
      <c r="AM111">
        <f t="shared" si="3"/>
        <v>1.9776333333300755E-2</v>
      </c>
      <c r="AN111">
        <v>23.265821602991601</v>
      </c>
      <c r="AO111">
        <v>7.25714285714285</v>
      </c>
      <c r="AP111" s="19" t="s">
        <v>328</v>
      </c>
    </row>
    <row r="112" spans="1:42" ht="57.75" customHeight="1">
      <c r="B112">
        <f t="shared" si="2"/>
        <v>0</v>
      </c>
      <c r="C112" s="19" t="s">
        <v>333</v>
      </c>
      <c r="D112" t="s">
        <v>334</v>
      </c>
      <c r="E112" s="17">
        <v>80</v>
      </c>
      <c r="F112">
        <v>15</v>
      </c>
      <c r="G112">
        <v>3</v>
      </c>
      <c r="H112">
        <v>0</v>
      </c>
      <c r="I112">
        <v>2</v>
      </c>
      <c r="J112">
        <v>16</v>
      </c>
      <c r="K112">
        <v>69</v>
      </c>
      <c r="L112">
        <v>83</v>
      </c>
      <c r="M112">
        <v>1.4E-2</v>
      </c>
      <c r="N112">
        <v>28.5</v>
      </c>
      <c r="O112" t="s">
        <v>335</v>
      </c>
      <c r="P112" t="s">
        <v>336</v>
      </c>
      <c r="Q112" s="18">
        <v>0</v>
      </c>
      <c r="R112" s="18">
        <v>11875.2</v>
      </c>
      <c r="S112" s="18">
        <v>8012.62</v>
      </c>
      <c r="T112" s="18">
        <v>8563.2900000000009</v>
      </c>
      <c r="U112" s="18">
        <v>4797.58</v>
      </c>
      <c r="V112" s="18">
        <v>6948.79</v>
      </c>
      <c r="W112" s="18">
        <v>5113.32</v>
      </c>
      <c r="X112" s="18">
        <v>9404.81</v>
      </c>
      <c r="Y112" s="18">
        <v>6973.02</v>
      </c>
      <c r="Z112" s="18">
        <v>0</v>
      </c>
      <c r="AA112" s="18">
        <v>0</v>
      </c>
      <c r="AB112" s="18">
        <v>0</v>
      </c>
      <c r="AC112" s="18">
        <v>0</v>
      </c>
      <c r="AD112" s="18">
        <v>3691.71</v>
      </c>
      <c r="AE112" s="18">
        <v>0</v>
      </c>
      <c r="AF112" s="18">
        <v>0</v>
      </c>
      <c r="AG112" s="18">
        <v>0</v>
      </c>
      <c r="AH112" s="18">
        <v>0</v>
      </c>
      <c r="AI112" s="18" t="s">
        <v>337</v>
      </c>
      <c r="AK112">
        <v>18.6874</v>
      </c>
      <c r="AL112">
        <v>27.8735778</v>
      </c>
      <c r="AM112">
        <f t="shared" si="3"/>
        <v>9.1861777999999994</v>
      </c>
      <c r="AN112">
        <v>20.063451885488501</v>
      </c>
      <c r="AO112">
        <v>4.9749999999999996</v>
      </c>
      <c r="AP112" s="19" t="s">
        <v>333</v>
      </c>
    </row>
    <row r="113" spans="2:42" ht="57.75" customHeight="1">
      <c r="B113">
        <f t="shared" si="2"/>
        <v>1</v>
      </c>
      <c r="C113" s="19" t="s">
        <v>338</v>
      </c>
      <c r="D113" t="s">
        <v>339</v>
      </c>
      <c r="E113" s="17">
        <v>85.713999999999999</v>
      </c>
      <c r="F113">
        <v>7</v>
      </c>
      <c r="G113">
        <v>1</v>
      </c>
      <c r="H113">
        <v>0</v>
      </c>
      <c r="I113">
        <v>3</v>
      </c>
      <c r="J113">
        <v>9</v>
      </c>
      <c r="K113">
        <v>33</v>
      </c>
      <c r="L113">
        <v>39</v>
      </c>
      <c r="M113">
        <v>7.1</v>
      </c>
      <c r="N113">
        <v>20.399999999999999</v>
      </c>
      <c r="O113" t="s">
        <v>340</v>
      </c>
      <c r="P113" t="s">
        <v>341</v>
      </c>
      <c r="Q113" s="18">
        <v>0</v>
      </c>
      <c r="R113" s="18">
        <v>0</v>
      </c>
      <c r="S113" s="18">
        <v>0</v>
      </c>
      <c r="T113" s="18">
        <v>178752</v>
      </c>
      <c r="U113" s="18">
        <v>0</v>
      </c>
      <c r="V113" s="18">
        <v>0</v>
      </c>
      <c r="W113" s="18">
        <v>141126</v>
      </c>
      <c r="X113" s="18">
        <v>292834</v>
      </c>
      <c r="Y113" s="18">
        <v>159380</v>
      </c>
      <c r="Z113" s="18">
        <v>0</v>
      </c>
      <c r="AA113" s="18">
        <v>0</v>
      </c>
      <c r="AB113" s="18">
        <v>0</v>
      </c>
      <c r="AC113" s="18">
        <v>0</v>
      </c>
      <c r="AD113" s="18">
        <v>0</v>
      </c>
      <c r="AE113" s="18">
        <v>0</v>
      </c>
      <c r="AF113" s="18">
        <v>0</v>
      </c>
      <c r="AG113" s="18">
        <v>0</v>
      </c>
      <c r="AH113" s="18">
        <v>0</v>
      </c>
      <c r="AI113" s="18" t="s">
        <v>337</v>
      </c>
      <c r="AK113">
        <v>13.7997</v>
      </c>
      <c r="AL113">
        <v>21.662611933333299</v>
      </c>
      <c r="AM113">
        <f t="shared" si="3"/>
        <v>7.8629119333332991</v>
      </c>
      <c r="AN113">
        <v>14.147846424336</v>
      </c>
      <c r="AO113">
        <v>15.6666666666666</v>
      </c>
      <c r="AP113" s="19" t="s">
        <v>338</v>
      </c>
    </row>
    <row r="114" spans="2:42" ht="57.75" customHeight="1">
      <c r="B114">
        <f t="shared" si="2"/>
        <v>0</v>
      </c>
      <c r="C114" s="19" t="s">
        <v>342</v>
      </c>
      <c r="D114" t="s">
        <v>343</v>
      </c>
      <c r="E114" s="17">
        <v>38.889000000000003</v>
      </c>
      <c r="F114">
        <v>18</v>
      </c>
      <c r="G114">
        <v>11</v>
      </c>
      <c r="H114">
        <v>0</v>
      </c>
      <c r="I114">
        <v>1</v>
      </c>
      <c r="J114">
        <v>18</v>
      </c>
      <c r="K114">
        <v>277</v>
      </c>
      <c r="L114">
        <v>294</v>
      </c>
      <c r="M114">
        <v>7.1</v>
      </c>
      <c r="N114">
        <v>21.2</v>
      </c>
      <c r="O114" t="s">
        <v>344</v>
      </c>
      <c r="P114" t="s">
        <v>345</v>
      </c>
      <c r="Q114" s="6">
        <v>0</v>
      </c>
      <c r="R114" s="6">
        <v>0</v>
      </c>
      <c r="S114" s="6">
        <v>0</v>
      </c>
      <c r="T114" s="6">
        <v>5322.9</v>
      </c>
      <c r="U114" s="6">
        <v>0</v>
      </c>
      <c r="V114" s="6">
        <v>0</v>
      </c>
      <c r="W114" s="6">
        <v>4585.6899999999996</v>
      </c>
      <c r="X114" s="6">
        <v>4592.84</v>
      </c>
      <c r="Y114" s="6">
        <v>85375.1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 t="s">
        <v>346</v>
      </c>
      <c r="AK114">
        <v>26.803699999999999</v>
      </c>
      <c r="AL114">
        <v>28.412688466666701</v>
      </c>
      <c r="AM114">
        <f t="shared" si="3"/>
        <v>1.6089884666667018</v>
      </c>
      <c r="AN114">
        <v>28.6654690286666</v>
      </c>
      <c r="AO114">
        <v>7.6421052631578901</v>
      </c>
      <c r="AP114" s="19" t="s">
        <v>342</v>
      </c>
    </row>
    <row r="115" spans="2:42" ht="57.75" customHeight="1">
      <c r="B115">
        <f t="shared" si="2"/>
        <v>1</v>
      </c>
      <c r="C115" s="19" t="s">
        <v>347</v>
      </c>
      <c r="D115" t="s">
        <v>348</v>
      </c>
      <c r="E115" s="17">
        <v>64.286000000000001</v>
      </c>
      <c r="F115">
        <v>14</v>
      </c>
      <c r="G115">
        <v>5</v>
      </c>
      <c r="H115">
        <v>0</v>
      </c>
      <c r="I115">
        <v>3</v>
      </c>
      <c r="J115">
        <v>16</v>
      </c>
      <c r="K115">
        <v>15</v>
      </c>
      <c r="L115">
        <v>28</v>
      </c>
      <c r="M115">
        <v>1.2</v>
      </c>
      <c r="N115">
        <v>23.5</v>
      </c>
      <c r="O115" t="s">
        <v>349</v>
      </c>
      <c r="P115" t="s">
        <v>350</v>
      </c>
      <c r="Q115" s="6">
        <v>35534.9</v>
      </c>
      <c r="R115" s="6">
        <v>18720.900000000001</v>
      </c>
      <c r="S115" s="6">
        <v>15964.3</v>
      </c>
      <c r="T115" s="6">
        <v>32401.599999999999</v>
      </c>
      <c r="U115" s="6">
        <v>35233.5</v>
      </c>
      <c r="V115" s="6">
        <v>21574.5</v>
      </c>
      <c r="W115" s="6">
        <v>44462.400000000001</v>
      </c>
      <c r="X115" s="6">
        <v>17209.8</v>
      </c>
      <c r="Y115" s="6">
        <v>21955.599999999999</v>
      </c>
      <c r="Z115" s="6">
        <v>22357.200000000001</v>
      </c>
      <c r="AA115" s="6">
        <v>31136.3</v>
      </c>
      <c r="AB115" s="6">
        <v>21330.3</v>
      </c>
      <c r="AC115" s="6">
        <v>13790</v>
      </c>
      <c r="AD115" s="6">
        <v>16779.8</v>
      </c>
      <c r="AE115" s="6">
        <v>27767.8</v>
      </c>
      <c r="AF115" s="6">
        <v>42881.9</v>
      </c>
      <c r="AG115" s="6">
        <v>32006.9</v>
      </c>
      <c r="AH115" s="6">
        <v>23387.7</v>
      </c>
      <c r="AI115" s="6" t="s">
        <v>346</v>
      </c>
      <c r="AK115">
        <v>19.666499999999999</v>
      </c>
      <c r="AL115">
        <v>29.8316792</v>
      </c>
      <c r="AM115">
        <f t="shared" si="3"/>
        <v>10.165179200000001</v>
      </c>
      <c r="AN115">
        <v>22.8700440006028</v>
      </c>
      <c r="AO115">
        <v>4.5333333333333297</v>
      </c>
      <c r="AP115" s="19" t="s">
        <v>347</v>
      </c>
    </row>
    <row r="116" spans="2:42" ht="57.75" customHeight="1">
      <c r="B116">
        <f t="shared" si="2"/>
        <v>0</v>
      </c>
      <c r="C116" s="19" t="s">
        <v>351</v>
      </c>
      <c r="D116" t="s">
        <v>352</v>
      </c>
      <c r="E116" s="17">
        <v>88.234999999999999</v>
      </c>
      <c r="F116">
        <v>17</v>
      </c>
      <c r="G116">
        <v>2</v>
      </c>
      <c r="H116">
        <v>0</v>
      </c>
      <c r="I116">
        <v>1</v>
      </c>
      <c r="J116">
        <v>17</v>
      </c>
      <c r="K116">
        <v>424</v>
      </c>
      <c r="L116">
        <v>440</v>
      </c>
      <c r="M116" s="1">
        <v>4.1600000000000002E-5</v>
      </c>
      <c r="N116">
        <v>35.799999999999997</v>
      </c>
      <c r="O116" t="s">
        <v>351</v>
      </c>
      <c r="P116" t="s">
        <v>353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152812</v>
      </c>
      <c r="AD116">
        <v>0</v>
      </c>
      <c r="AE116">
        <v>64011</v>
      </c>
      <c r="AF116">
        <v>309384</v>
      </c>
      <c r="AG116">
        <v>362177</v>
      </c>
      <c r="AH116">
        <v>313412</v>
      </c>
      <c r="AI116" t="s">
        <v>354</v>
      </c>
      <c r="AK116">
        <v>30.722000000000001</v>
      </c>
      <c r="AL116">
        <v>30.719963266666699</v>
      </c>
      <c r="AM116">
        <f t="shared" si="3"/>
        <v>2.0367333333020099E-3</v>
      </c>
      <c r="AN116">
        <v>28.353064083684401</v>
      </c>
      <c r="AO116">
        <v>12.3529411764705</v>
      </c>
      <c r="AP116" s="19" t="s">
        <v>351</v>
      </c>
    </row>
    <row r="117" spans="2:42" ht="57.75" customHeight="1">
      <c r="B117">
        <f t="shared" si="2"/>
        <v>0</v>
      </c>
      <c r="C117" s="19" t="s">
        <v>355</v>
      </c>
      <c r="D117" t="s">
        <v>356</v>
      </c>
      <c r="E117" s="17">
        <v>92.856999999999999</v>
      </c>
      <c r="F117">
        <v>14</v>
      </c>
      <c r="G117">
        <v>1</v>
      </c>
      <c r="H117">
        <v>0</v>
      </c>
      <c r="I117">
        <v>1</v>
      </c>
      <c r="J117">
        <v>14</v>
      </c>
      <c r="K117">
        <v>109</v>
      </c>
      <c r="L117">
        <v>122</v>
      </c>
      <c r="M117" s="1">
        <v>3.2000000000000003E-4</v>
      </c>
      <c r="N117">
        <v>33.1</v>
      </c>
      <c r="O117" t="s">
        <v>355</v>
      </c>
      <c r="P117" t="s">
        <v>357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5292.34</v>
      </c>
      <c r="AH117">
        <v>6732.36</v>
      </c>
      <c r="AI117" t="s">
        <v>358</v>
      </c>
      <c r="AK117">
        <v>23.2883</v>
      </c>
      <c r="AL117">
        <v>28.3650220666667</v>
      </c>
      <c r="AM117">
        <f t="shared" si="3"/>
        <v>5.0767220666667008</v>
      </c>
      <c r="AN117">
        <v>23.497021735859398</v>
      </c>
      <c r="AO117">
        <v>5.2</v>
      </c>
      <c r="AP117" s="19" t="s">
        <v>355</v>
      </c>
    </row>
    <row r="118" spans="2:42" ht="57.75" customHeight="1">
      <c r="B118">
        <f t="shared" si="2"/>
        <v>0</v>
      </c>
      <c r="C118" s="19" t="s">
        <v>359</v>
      </c>
      <c r="D118" t="s">
        <v>360</v>
      </c>
      <c r="E118" s="17">
        <v>91.667000000000002</v>
      </c>
      <c r="F118">
        <v>12</v>
      </c>
      <c r="G118">
        <v>1</v>
      </c>
      <c r="H118">
        <v>0</v>
      </c>
      <c r="I118">
        <v>1</v>
      </c>
      <c r="J118">
        <v>12</v>
      </c>
      <c r="K118">
        <v>283</v>
      </c>
      <c r="L118">
        <v>294</v>
      </c>
      <c r="M118">
        <v>3.5999999999999997E-2</v>
      </c>
      <c r="N118">
        <v>27.3</v>
      </c>
      <c r="O118" t="s">
        <v>359</v>
      </c>
      <c r="P118" t="s">
        <v>361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35466.800000000003</v>
      </c>
      <c r="AB118">
        <v>0</v>
      </c>
      <c r="AC118">
        <v>0</v>
      </c>
      <c r="AD118">
        <v>13003.7</v>
      </c>
      <c r="AE118">
        <v>24613</v>
      </c>
      <c r="AF118">
        <v>0</v>
      </c>
      <c r="AG118">
        <v>0</v>
      </c>
      <c r="AH118">
        <v>0</v>
      </c>
      <c r="AI118" t="s">
        <v>362</v>
      </c>
      <c r="AK118">
        <v>21.788</v>
      </c>
      <c r="AL118">
        <v>21.7668924666667</v>
      </c>
      <c r="AM118">
        <f t="shared" si="3"/>
        <v>2.1107533333299955E-2</v>
      </c>
      <c r="AN118">
        <v>17.920140400187499</v>
      </c>
      <c r="AO118">
        <v>15.375</v>
      </c>
      <c r="AP118" s="19" t="s">
        <v>359</v>
      </c>
    </row>
    <row r="119" spans="2:42" ht="57.75" customHeight="1">
      <c r="B119">
        <f t="shared" si="2"/>
        <v>0</v>
      </c>
      <c r="C119" s="19" t="s">
        <v>363</v>
      </c>
      <c r="D119" t="s">
        <v>364</v>
      </c>
      <c r="E119" s="17">
        <v>85.713999999999999</v>
      </c>
      <c r="F119">
        <v>14</v>
      </c>
      <c r="G119">
        <v>2</v>
      </c>
      <c r="H119">
        <v>0</v>
      </c>
      <c r="I119">
        <v>1</v>
      </c>
      <c r="J119">
        <v>14</v>
      </c>
      <c r="K119">
        <v>9</v>
      </c>
      <c r="L119">
        <v>22</v>
      </c>
      <c r="M119">
        <v>1.6E-2</v>
      </c>
      <c r="N119">
        <v>28.5</v>
      </c>
      <c r="O119" t="s">
        <v>365</v>
      </c>
      <c r="P119" t="s">
        <v>366</v>
      </c>
      <c r="Q119" s="6">
        <v>0</v>
      </c>
      <c r="R119" s="6">
        <v>0</v>
      </c>
      <c r="S119" s="6">
        <v>2409.9499999999998</v>
      </c>
      <c r="T119" s="6">
        <v>0</v>
      </c>
      <c r="U119" s="6">
        <v>0</v>
      </c>
      <c r="V119" s="6">
        <v>0</v>
      </c>
      <c r="W119" s="6">
        <v>1004.39</v>
      </c>
      <c r="X119" s="6">
        <v>1148.97</v>
      </c>
      <c r="Y119" s="6">
        <v>1363.67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1311.5</v>
      </c>
      <c r="AH119" s="6">
        <v>1302.6500000000001</v>
      </c>
      <c r="AI119" s="6" t="s">
        <v>367</v>
      </c>
      <c r="AK119">
        <v>26.0427</v>
      </c>
      <c r="AL119">
        <v>28.8972342666667</v>
      </c>
      <c r="AM119">
        <f t="shared" si="3"/>
        <v>2.8545342666667004</v>
      </c>
      <c r="AN119">
        <v>21.6238674277147</v>
      </c>
      <c r="AO119">
        <v>5.92</v>
      </c>
      <c r="AP119" s="19" t="s">
        <v>363</v>
      </c>
    </row>
    <row r="120" spans="2:42" ht="57.75" customHeight="1">
      <c r="B120">
        <f t="shared" si="2"/>
        <v>1</v>
      </c>
      <c r="C120" s="19" t="s">
        <v>368</v>
      </c>
      <c r="D120" t="s">
        <v>369</v>
      </c>
      <c r="E120" s="17">
        <v>72.727000000000004</v>
      </c>
      <c r="F120">
        <v>11</v>
      </c>
      <c r="G120">
        <v>3</v>
      </c>
      <c r="H120">
        <v>0</v>
      </c>
      <c r="I120">
        <v>1</v>
      </c>
      <c r="J120">
        <v>11</v>
      </c>
      <c r="K120">
        <v>45</v>
      </c>
      <c r="L120">
        <v>55</v>
      </c>
      <c r="M120">
        <v>4.0999999999999996</v>
      </c>
      <c r="N120">
        <v>21.2</v>
      </c>
      <c r="O120" t="s">
        <v>368</v>
      </c>
      <c r="P120" t="s">
        <v>370</v>
      </c>
      <c r="Q120" s="6">
        <v>0</v>
      </c>
      <c r="R120" s="6">
        <v>0</v>
      </c>
      <c r="S120" s="6">
        <v>12595.6</v>
      </c>
      <c r="T120" s="6">
        <v>6267</v>
      </c>
      <c r="U120" s="6">
        <v>0</v>
      </c>
      <c r="V120" s="6">
        <v>4500.1899999999996</v>
      </c>
      <c r="W120" s="6">
        <v>5845.85</v>
      </c>
      <c r="X120" s="6">
        <v>0</v>
      </c>
      <c r="Y120" s="6">
        <v>4615.43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5158.3</v>
      </c>
      <c r="AG120" s="6">
        <v>18580.2</v>
      </c>
      <c r="AH120" s="6">
        <v>7029.5</v>
      </c>
      <c r="AI120" s="6" t="s">
        <v>367</v>
      </c>
      <c r="AK120">
        <v>20.149999999999999</v>
      </c>
      <c r="AL120">
        <v>21.7962265333333</v>
      </c>
      <c r="AM120">
        <f t="shared" si="3"/>
        <v>1.6462265333333015</v>
      </c>
      <c r="AN120">
        <v>13.587132101767301</v>
      </c>
      <c r="AO120">
        <v>2.6545454545454499</v>
      </c>
      <c r="AP120" s="19" t="s">
        <v>368</v>
      </c>
    </row>
    <row r="121" spans="2:42" ht="57.75" customHeight="1">
      <c r="B121">
        <f t="shared" si="2"/>
        <v>0</v>
      </c>
      <c r="C121" s="19" t="s">
        <v>371</v>
      </c>
      <c r="D121" t="s">
        <v>372</v>
      </c>
      <c r="E121" s="17">
        <v>91.667000000000002</v>
      </c>
      <c r="F121">
        <v>12</v>
      </c>
      <c r="G121">
        <v>1</v>
      </c>
      <c r="H121">
        <v>0</v>
      </c>
      <c r="I121">
        <v>1</v>
      </c>
      <c r="J121">
        <v>12</v>
      </c>
      <c r="K121">
        <v>52</v>
      </c>
      <c r="L121">
        <v>63</v>
      </c>
      <c r="M121">
        <v>6.9000000000000006E-2</v>
      </c>
      <c r="N121">
        <v>26.6</v>
      </c>
      <c r="O121" t="s">
        <v>371</v>
      </c>
      <c r="P121" t="s">
        <v>373</v>
      </c>
      <c r="Q121" s="18">
        <v>0</v>
      </c>
      <c r="R121" s="18">
        <v>0</v>
      </c>
      <c r="S121" s="18">
        <v>253469</v>
      </c>
      <c r="T121" s="18">
        <v>203923</v>
      </c>
      <c r="U121" s="18">
        <v>349456</v>
      </c>
      <c r="V121" s="18">
        <v>229223</v>
      </c>
      <c r="W121" s="18">
        <v>216066</v>
      </c>
      <c r="X121" s="18">
        <v>308489</v>
      </c>
      <c r="Y121" s="18">
        <v>143858</v>
      </c>
      <c r="Z121" s="18">
        <v>0</v>
      </c>
      <c r="AA121" s="18">
        <v>617611</v>
      </c>
      <c r="AB121" s="18">
        <v>384423</v>
      </c>
      <c r="AC121" s="18">
        <v>478549</v>
      </c>
      <c r="AD121" s="18">
        <v>381455</v>
      </c>
      <c r="AE121" s="18">
        <v>519512</v>
      </c>
      <c r="AF121" s="18">
        <v>694455</v>
      </c>
      <c r="AG121" s="18">
        <v>593777</v>
      </c>
      <c r="AH121" s="18">
        <v>288104</v>
      </c>
      <c r="AI121" s="18" t="s">
        <v>374</v>
      </c>
      <c r="AK121">
        <v>14.886799999999999</v>
      </c>
      <c r="AL121">
        <v>20.824875666666699</v>
      </c>
      <c r="AM121">
        <f t="shared" si="3"/>
        <v>5.9380756666667001</v>
      </c>
      <c r="AN121">
        <v>36.483277670664698</v>
      </c>
      <c r="AO121">
        <v>49.575000000000003</v>
      </c>
      <c r="AP121" s="19" t="s">
        <v>371</v>
      </c>
    </row>
    <row r="122" spans="2:42" ht="57.75" customHeight="1">
      <c r="B122">
        <f t="shared" si="2"/>
        <v>1</v>
      </c>
      <c r="C122" s="19" t="s">
        <v>375</v>
      </c>
      <c r="D122" t="s">
        <v>376</v>
      </c>
      <c r="E122" s="17">
        <v>94.444000000000003</v>
      </c>
      <c r="F122">
        <v>18</v>
      </c>
      <c r="G122">
        <v>1</v>
      </c>
      <c r="H122">
        <v>0</v>
      </c>
      <c r="I122">
        <v>1</v>
      </c>
      <c r="J122">
        <v>18</v>
      </c>
      <c r="K122">
        <v>46</v>
      </c>
      <c r="L122">
        <v>63</v>
      </c>
      <c r="M122" s="1">
        <v>4.5600000000000004E-6</v>
      </c>
      <c r="N122">
        <v>38.5</v>
      </c>
      <c r="O122" t="s">
        <v>375</v>
      </c>
      <c r="P122" t="s">
        <v>377</v>
      </c>
      <c r="Q122" s="18">
        <v>0</v>
      </c>
      <c r="R122" s="18">
        <v>0</v>
      </c>
      <c r="S122" s="18">
        <v>0</v>
      </c>
      <c r="T122" s="18">
        <v>75068.3</v>
      </c>
      <c r="U122" s="18">
        <v>0</v>
      </c>
      <c r="V122" s="18">
        <v>112645</v>
      </c>
      <c r="W122" s="18">
        <v>224480</v>
      </c>
      <c r="X122" s="18">
        <v>106516</v>
      </c>
      <c r="Y122" s="18">
        <v>122958</v>
      </c>
      <c r="Z122" s="18">
        <v>0</v>
      </c>
      <c r="AA122" s="18">
        <v>370870</v>
      </c>
      <c r="AB122" s="18">
        <v>0</v>
      </c>
      <c r="AC122" s="18">
        <v>349888</v>
      </c>
      <c r="AD122" s="18">
        <v>315392</v>
      </c>
      <c r="AE122" s="18">
        <v>275974</v>
      </c>
      <c r="AF122" s="18">
        <v>0</v>
      </c>
      <c r="AG122" s="18">
        <v>0</v>
      </c>
      <c r="AH122" s="18">
        <v>208181</v>
      </c>
      <c r="AI122" s="18" t="s">
        <v>374</v>
      </c>
      <c r="AK122">
        <v>24.264099999999999</v>
      </c>
      <c r="AL122">
        <v>20.780821799999998</v>
      </c>
      <c r="AM122">
        <f t="shared" si="3"/>
        <v>3.4832782000000009</v>
      </c>
      <c r="AN122">
        <v>32.072281848943597</v>
      </c>
      <c r="AO122">
        <v>25.45</v>
      </c>
      <c r="AP122" s="19" t="s">
        <v>375</v>
      </c>
    </row>
    <row r="123" spans="2:42" ht="57.75" customHeight="1">
      <c r="B123">
        <f t="shared" si="2"/>
        <v>0</v>
      </c>
      <c r="C123" s="19" t="s">
        <v>378</v>
      </c>
      <c r="D123" t="s">
        <v>379</v>
      </c>
      <c r="E123" s="17">
        <v>91.667000000000002</v>
      </c>
      <c r="F123">
        <v>12</v>
      </c>
      <c r="G123">
        <v>1</v>
      </c>
      <c r="H123">
        <v>0</v>
      </c>
      <c r="I123">
        <v>1</v>
      </c>
      <c r="J123">
        <v>12</v>
      </c>
      <c r="K123">
        <v>150</v>
      </c>
      <c r="L123">
        <v>161</v>
      </c>
      <c r="M123">
        <v>0.06</v>
      </c>
      <c r="N123">
        <v>26.6</v>
      </c>
      <c r="O123" t="s">
        <v>378</v>
      </c>
      <c r="P123" t="s">
        <v>380</v>
      </c>
      <c r="Q123" s="6">
        <v>1780000</v>
      </c>
      <c r="R123" s="6">
        <v>1700000</v>
      </c>
      <c r="S123" s="6">
        <v>1150000</v>
      </c>
      <c r="T123" s="6">
        <v>2270000</v>
      </c>
      <c r="U123" s="6">
        <v>2290000</v>
      </c>
      <c r="V123" s="6">
        <v>2160000</v>
      </c>
      <c r="W123" s="6">
        <v>2120000</v>
      </c>
      <c r="X123" s="6">
        <v>2560000</v>
      </c>
      <c r="Y123" s="6">
        <v>2210000</v>
      </c>
      <c r="Z123" s="6">
        <v>791661</v>
      </c>
      <c r="AA123" s="6">
        <v>834551</v>
      </c>
      <c r="AB123" s="6">
        <v>523610</v>
      </c>
      <c r="AC123" s="6">
        <v>1580000</v>
      </c>
      <c r="AD123" s="6">
        <v>1370000</v>
      </c>
      <c r="AE123" s="6">
        <v>1640000</v>
      </c>
      <c r="AF123" s="6">
        <v>554872</v>
      </c>
      <c r="AG123" s="6">
        <v>1080000</v>
      </c>
      <c r="AH123" s="6">
        <v>406636</v>
      </c>
      <c r="AI123" s="6" t="s">
        <v>381</v>
      </c>
      <c r="AK123">
        <v>22.5379</v>
      </c>
      <c r="AL123">
        <v>22.677804933333299</v>
      </c>
      <c r="AM123">
        <f t="shared" si="3"/>
        <v>0.13990493333329823</v>
      </c>
      <c r="AN123">
        <v>36.420480257009501</v>
      </c>
      <c r="AO123">
        <v>31.875</v>
      </c>
      <c r="AP123" s="19" t="s">
        <v>378</v>
      </c>
    </row>
    <row r="124" spans="2:42" ht="57.75" customHeight="1">
      <c r="B124">
        <f t="shared" si="2"/>
        <v>1</v>
      </c>
      <c r="C124" s="19" t="s">
        <v>382</v>
      </c>
      <c r="D124" t="s">
        <v>383</v>
      </c>
      <c r="E124" s="17">
        <v>92.856999999999999</v>
      </c>
      <c r="F124">
        <v>14</v>
      </c>
      <c r="G124">
        <v>1</v>
      </c>
      <c r="H124">
        <v>0</v>
      </c>
      <c r="I124">
        <v>1</v>
      </c>
      <c r="J124">
        <v>14</v>
      </c>
      <c r="K124">
        <v>148</v>
      </c>
      <c r="L124">
        <v>161</v>
      </c>
      <c r="M124">
        <v>2E-3</v>
      </c>
      <c r="N124">
        <v>30.8</v>
      </c>
      <c r="O124" t="s">
        <v>382</v>
      </c>
      <c r="P124" t="s">
        <v>384</v>
      </c>
      <c r="Q124" s="6">
        <v>991700</v>
      </c>
      <c r="R124" s="6">
        <v>692959</v>
      </c>
      <c r="S124" s="6">
        <v>427073</v>
      </c>
      <c r="T124" s="6">
        <v>750478</v>
      </c>
      <c r="U124" s="6">
        <v>845865</v>
      </c>
      <c r="V124" s="6">
        <v>720351</v>
      </c>
      <c r="W124" s="6">
        <v>1130000</v>
      </c>
      <c r="X124" s="6">
        <v>803951</v>
      </c>
      <c r="Y124" s="6">
        <v>1200000</v>
      </c>
      <c r="Z124" s="6">
        <v>437569</v>
      </c>
      <c r="AA124" s="6">
        <v>406555</v>
      </c>
      <c r="AB124" s="6">
        <v>408863</v>
      </c>
      <c r="AC124" s="6">
        <v>805114</v>
      </c>
      <c r="AD124" s="6">
        <v>482729</v>
      </c>
      <c r="AE124" s="6">
        <v>798066</v>
      </c>
      <c r="AF124" s="6">
        <v>282224</v>
      </c>
      <c r="AG124" s="6">
        <v>547292</v>
      </c>
      <c r="AH124" s="6">
        <v>338007</v>
      </c>
      <c r="AI124" s="6" t="s">
        <v>381</v>
      </c>
      <c r="AK124">
        <v>20.1142</v>
      </c>
      <c r="AL124">
        <v>20.1330186666667</v>
      </c>
      <c r="AM124">
        <f t="shared" si="3"/>
        <v>1.8818666666700068E-2</v>
      </c>
      <c r="AN124">
        <v>26.791744741402901</v>
      </c>
      <c r="AO124">
        <v>27.385714285714201</v>
      </c>
      <c r="AP124" s="19" t="s">
        <v>382</v>
      </c>
    </row>
    <row r="125" spans="2:42" ht="57.75" customHeight="1">
      <c r="B125">
        <f t="shared" si="2"/>
        <v>0</v>
      </c>
      <c r="C125" s="19" t="s">
        <v>385</v>
      </c>
      <c r="D125" t="s">
        <v>386</v>
      </c>
      <c r="E125" s="17">
        <v>90.909000000000006</v>
      </c>
      <c r="F125">
        <v>11</v>
      </c>
      <c r="G125">
        <v>1</v>
      </c>
      <c r="H125">
        <v>0</v>
      </c>
      <c r="I125">
        <v>1</v>
      </c>
      <c r="J125">
        <v>11</v>
      </c>
      <c r="K125">
        <v>79</v>
      </c>
      <c r="L125">
        <v>89</v>
      </c>
      <c r="M125">
        <v>0.7</v>
      </c>
      <c r="N125">
        <v>23.5</v>
      </c>
      <c r="O125" t="s">
        <v>385</v>
      </c>
      <c r="P125" t="s">
        <v>387</v>
      </c>
      <c r="Q125">
        <v>20950.3</v>
      </c>
      <c r="R125">
        <v>0</v>
      </c>
      <c r="S125">
        <v>9458.9599999999991</v>
      </c>
      <c r="T125">
        <v>0</v>
      </c>
      <c r="U125">
        <v>0</v>
      </c>
      <c r="V125">
        <v>0</v>
      </c>
      <c r="W125">
        <v>17977.8</v>
      </c>
      <c r="X125">
        <v>0</v>
      </c>
      <c r="Y125">
        <v>24105.7</v>
      </c>
      <c r="Z125">
        <v>0</v>
      </c>
      <c r="AA125">
        <v>0</v>
      </c>
      <c r="AB125">
        <v>0</v>
      </c>
      <c r="AC125">
        <v>14025.9</v>
      </c>
      <c r="AD125">
        <v>37210.400000000001</v>
      </c>
      <c r="AE125">
        <v>20641.7</v>
      </c>
      <c r="AF125">
        <v>19591.599999999999</v>
      </c>
      <c r="AG125">
        <v>0</v>
      </c>
      <c r="AH125">
        <v>12323.9</v>
      </c>
      <c r="AI125" t="s">
        <v>388</v>
      </c>
      <c r="AK125">
        <v>17.565100000000001</v>
      </c>
      <c r="AL125">
        <v>25.9692367333333</v>
      </c>
      <c r="AM125">
        <f t="shared" si="3"/>
        <v>8.4041367333332992</v>
      </c>
      <c r="AN125">
        <v>20.184495365936002</v>
      </c>
      <c r="AO125">
        <v>0.92727272727272703</v>
      </c>
      <c r="AP125" s="19" t="s">
        <v>385</v>
      </c>
    </row>
    <row r="126" spans="2:42" ht="57.75" customHeight="1">
      <c r="B126">
        <f t="shared" si="2"/>
        <v>0</v>
      </c>
      <c r="C126" s="19" t="s">
        <v>389</v>
      </c>
      <c r="D126" t="s">
        <v>390</v>
      </c>
      <c r="E126" s="17">
        <v>94.444000000000003</v>
      </c>
      <c r="F126">
        <v>18</v>
      </c>
      <c r="G126">
        <v>1</v>
      </c>
      <c r="H126">
        <v>0</v>
      </c>
      <c r="I126">
        <v>1</v>
      </c>
      <c r="J126">
        <v>18</v>
      </c>
      <c r="K126">
        <v>357</v>
      </c>
      <c r="L126">
        <v>374</v>
      </c>
      <c r="M126" s="1">
        <v>2.52E-6</v>
      </c>
      <c r="N126">
        <v>39.299999999999997</v>
      </c>
      <c r="O126" t="s">
        <v>389</v>
      </c>
      <c r="P126" t="s">
        <v>391</v>
      </c>
      <c r="Q126" s="6">
        <v>0</v>
      </c>
      <c r="R126" s="6">
        <v>0</v>
      </c>
      <c r="S126" s="6">
        <v>50643.7</v>
      </c>
      <c r="T126" s="6">
        <v>32726.2</v>
      </c>
      <c r="U126" s="6">
        <v>0</v>
      </c>
      <c r="V126" s="6">
        <v>0</v>
      </c>
      <c r="W126" s="6">
        <v>39541.199999999997</v>
      </c>
      <c r="X126" s="6">
        <v>34662.9</v>
      </c>
      <c r="Y126" s="6">
        <v>38940</v>
      </c>
      <c r="Z126" s="6">
        <v>0</v>
      </c>
      <c r="AA126" s="6">
        <v>0</v>
      </c>
      <c r="AB126" s="6">
        <v>32108</v>
      </c>
      <c r="AC126" s="6">
        <v>43209.7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 t="s">
        <v>392</v>
      </c>
      <c r="AK126">
        <v>29.6919</v>
      </c>
      <c r="AL126">
        <v>29.769136466666701</v>
      </c>
      <c r="AM126">
        <f t="shared" si="3"/>
        <v>7.723646666670092E-2</v>
      </c>
      <c r="AN126">
        <v>25.422161646068801</v>
      </c>
      <c r="AO126">
        <v>5.6666666666666599</v>
      </c>
      <c r="AP126" s="19" t="s">
        <v>389</v>
      </c>
    </row>
    <row r="127" spans="2:42" ht="57.75" customHeight="1">
      <c r="B127">
        <f t="shared" si="2"/>
        <v>1</v>
      </c>
      <c r="C127" s="19" t="s">
        <v>393</v>
      </c>
      <c r="D127" t="s">
        <v>390</v>
      </c>
      <c r="E127" s="17">
        <v>88.888999999999996</v>
      </c>
      <c r="F127">
        <v>9</v>
      </c>
      <c r="G127">
        <v>1</v>
      </c>
      <c r="H127">
        <v>0</v>
      </c>
      <c r="I127">
        <v>1</v>
      </c>
      <c r="J127">
        <v>9</v>
      </c>
      <c r="K127">
        <v>330</v>
      </c>
      <c r="L127">
        <v>338</v>
      </c>
      <c r="M127">
        <v>0.81</v>
      </c>
      <c r="N127">
        <v>23.1</v>
      </c>
      <c r="O127" t="s">
        <v>393</v>
      </c>
      <c r="P127" t="s">
        <v>394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1110000</v>
      </c>
      <c r="AC127" s="6">
        <v>0</v>
      </c>
      <c r="AD127" s="6">
        <v>0</v>
      </c>
      <c r="AE127" s="6">
        <v>0</v>
      </c>
      <c r="AF127" s="6">
        <v>792062</v>
      </c>
      <c r="AG127" s="6">
        <v>0</v>
      </c>
      <c r="AH127" s="6">
        <v>0</v>
      </c>
      <c r="AI127" s="6" t="s">
        <v>392</v>
      </c>
      <c r="AK127">
        <v>13.8101</v>
      </c>
      <c r="AL127">
        <v>13.9738147999999</v>
      </c>
      <c r="AM127">
        <f t="shared" si="3"/>
        <v>0.1637147999998998</v>
      </c>
      <c r="AN127">
        <v>16.201699518099399</v>
      </c>
      <c r="AO127">
        <v>8.5000000000000006E-2</v>
      </c>
      <c r="AP127" s="19" t="s">
        <v>393</v>
      </c>
    </row>
    <row r="128" spans="2:42" ht="57.75" customHeight="1">
      <c r="B128">
        <f t="shared" si="2"/>
        <v>0</v>
      </c>
      <c r="C128" s="19" t="s">
        <v>395</v>
      </c>
      <c r="D128" t="s">
        <v>396</v>
      </c>
      <c r="E128" s="17">
        <v>53.845999999999997</v>
      </c>
      <c r="F128">
        <v>13</v>
      </c>
      <c r="G128">
        <v>6</v>
      </c>
      <c r="H128">
        <v>0</v>
      </c>
      <c r="I128">
        <v>5</v>
      </c>
      <c r="J128">
        <v>17</v>
      </c>
      <c r="K128">
        <v>191</v>
      </c>
      <c r="L128">
        <v>203</v>
      </c>
      <c r="M128">
        <v>8.3000000000000007</v>
      </c>
      <c r="N128">
        <v>20.8</v>
      </c>
      <c r="O128" t="s">
        <v>397</v>
      </c>
      <c r="P128" t="s">
        <v>398</v>
      </c>
      <c r="Q128">
        <v>560643</v>
      </c>
      <c r="R128">
        <v>646928</v>
      </c>
      <c r="S128">
        <v>811503</v>
      </c>
      <c r="T128">
        <v>591120</v>
      </c>
      <c r="U128">
        <v>559810</v>
      </c>
      <c r="V128">
        <v>483671</v>
      </c>
      <c r="W128">
        <v>604878</v>
      </c>
      <c r="X128">
        <v>625298</v>
      </c>
      <c r="Y128">
        <v>613127</v>
      </c>
      <c r="Z128">
        <v>416686</v>
      </c>
      <c r="AA128">
        <v>342582</v>
      </c>
      <c r="AB128">
        <v>460740</v>
      </c>
      <c r="AC128">
        <v>920290</v>
      </c>
      <c r="AD128">
        <v>698090</v>
      </c>
      <c r="AE128">
        <v>949579</v>
      </c>
      <c r="AF128">
        <v>1130000</v>
      </c>
      <c r="AG128">
        <v>1330000</v>
      </c>
      <c r="AH128">
        <v>1110000</v>
      </c>
      <c r="AI128" t="s">
        <v>399</v>
      </c>
      <c r="AK128">
        <v>8.7378400000000003</v>
      </c>
      <c r="AL128">
        <v>22.535752866666702</v>
      </c>
      <c r="AM128">
        <f t="shared" si="3"/>
        <v>13.797912866666701</v>
      </c>
      <c r="AN128">
        <v>23.707898802552201</v>
      </c>
      <c r="AO128">
        <v>5.1529411764705797</v>
      </c>
      <c r="AP128" s="19" t="s">
        <v>395</v>
      </c>
    </row>
    <row r="129" spans="2:42" ht="57.75" customHeight="1">
      <c r="B129">
        <f t="shared" si="2"/>
        <v>0</v>
      </c>
      <c r="C129" s="19" t="s">
        <v>400</v>
      </c>
      <c r="D129" t="s">
        <v>401</v>
      </c>
      <c r="E129" s="17">
        <v>80</v>
      </c>
      <c r="F129">
        <v>15</v>
      </c>
      <c r="G129">
        <v>3</v>
      </c>
      <c r="H129">
        <v>0</v>
      </c>
      <c r="I129">
        <v>1</v>
      </c>
      <c r="J129">
        <v>15</v>
      </c>
      <c r="K129">
        <v>25</v>
      </c>
      <c r="L129">
        <v>39</v>
      </c>
      <c r="M129">
        <v>7.0000000000000001E-3</v>
      </c>
      <c r="N129">
        <v>29.3</v>
      </c>
      <c r="O129" t="s">
        <v>400</v>
      </c>
      <c r="P129" t="s">
        <v>402</v>
      </c>
      <c r="Q129" s="6">
        <v>0</v>
      </c>
      <c r="R129" s="6">
        <v>100770</v>
      </c>
      <c r="S129" s="6">
        <v>78709.100000000006</v>
      </c>
      <c r="T129" s="6">
        <v>98750.6</v>
      </c>
      <c r="U129" s="6">
        <v>0</v>
      </c>
      <c r="V129" s="6">
        <v>204303</v>
      </c>
      <c r="W129" s="6">
        <v>150727</v>
      </c>
      <c r="X129" s="6">
        <v>0</v>
      </c>
      <c r="Y129" s="6">
        <v>171076</v>
      </c>
      <c r="Z129" s="6">
        <v>126198</v>
      </c>
      <c r="AA129" s="6">
        <v>41375.199999999997</v>
      </c>
      <c r="AB129" s="6">
        <v>0</v>
      </c>
      <c r="AC129" s="6">
        <v>231703</v>
      </c>
      <c r="AD129" s="6">
        <v>581707</v>
      </c>
      <c r="AE129" s="6">
        <v>0</v>
      </c>
      <c r="AF129" s="6">
        <v>0</v>
      </c>
      <c r="AG129" s="6">
        <v>295887</v>
      </c>
      <c r="AH129" s="6">
        <v>0</v>
      </c>
      <c r="AI129" s="6" t="s">
        <v>403</v>
      </c>
      <c r="AK129">
        <v>21.813400000000001</v>
      </c>
      <c r="AL129">
        <v>23.571675933333299</v>
      </c>
      <c r="AM129">
        <f t="shared" si="3"/>
        <v>1.758275933333298</v>
      </c>
      <c r="AN129">
        <v>19.740281226642001</v>
      </c>
      <c r="AO129">
        <v>5.9466666666666601</v>
      </c>
      <c r="AP129" s="19" t="s">
        <v>400</v>
      </c>
    </row>
    <row r="130" spans="2:42" ht="57.75" customHeight="1">
      <c r="B130">
        <f t="shared" si="2"/>
        <v>1</v>
      </c>
      <c r="C130" s="19" t="s">
        <v>404</v>
      </c>
      <c r="D130" t="s">
        <v>405</v>
      </c>
      <c r="E130" s="17">
        <v>91.667000000000002</v>
      </c>
      <c r="F130">
        <v>12</v>
      </c>
      <c r="G130">
        <v>1</v>
      </c>
      <c r="H130">
        <v>0</v>
      </c>
      <c r="I130">
        <v>1</v>
      </c>
      <c r="J130">
        <v>12</v>
      </c>
      <c r="K130">
        <v>70</v>
      </c>
      <c r="L130">
        <v>81</v>
      </c>
      <c r="M130">
        <v>0.27</v>
      </c>
      <c r="N130">
        <v>24.6</v>
      </c>
      <c r="O130" t="s">
        <v>404</v>
      </c>
      <c r="P130" t="s">
        <v>406</v>
      </c>
      <c r="Q130" s="6">
        <v>185616</v>
      </c>
      <c r="R130" s="6">
        <v>174380</v>
      </c>
      <c r="S130" s="6">
        <v>163462</v>
      </c>
      <c r="T130" s="6">
        <v>151770</v>
      </c>
      <c r="U130" s="6">
        <v>224676</v>
      </c>
      <c r="V130" s="6">
        <v>106998</v>
      </c>
      <c r="W130" s="6">
        <v>115890</v>
      </c>
      <c r="X130" s="6">
        <v>154834</v>
      </c>
      <c r="Y130" s="6">
        <v>131659</v>
      </c>
      <c r="Z130" s="6">
        <v>294137</v>
      </c>
      <c r="AA130" s="6">
        <v>199053</v>
      </c>
      <c r="AB130" s="6">
        <v>153954</v>
      </c>
      <c r="AC130" s="6">
        <v>224744</v>
      </c>
      <c r="AD130" s="6">
        <v>741618</v>
      </c>
      <c r="AE130" s="6">
        <v>260458</v>
      </c>
      <c r="AF130" s="6">
        <v>631788</v>
      </c>
      <c r="AG130" s="6">
        <v>589484</v>
      </c>
      <c r="AH130" s="6">
        <v>529481</v>
      </c>
      <c r="AI130" s="6" t="s">
        <v>403</v>
      </c>
      <c r="AK130">
        <v>11.846299999999999</v>
      </c>
      <c r="AL130">
        <v>11.977554866666701</v>
      </c>
      <c r="AM130">
        <f t="shared" si="3"/>
        <v>0.13125486666670128</v>
      </c>
      <c r="AN130">
        <v>27.4207402568764</v>
      </c>
      <c r="AO130">
        <v>22.875</v>
      </c>
      <c r="AP130" s="19" t="s">
        <v>404</v>
      </c>
    </row>
    <row r="131" spans="2:42" ht="57.75" customHeight="1">
      <c r="B131">
        <f t="shared" si="2"/>
        <v>0</v>
      </c>
      <c r="C131" s="19" t="s">
        <v>407</v>
      </c>
      <c r="D131" t="s">
        <v>116</v>
      </c>
      <c r="E131" s="17">
        <v>90.909000000000006</v>
      </c>
      <c r="F131">
        <v>11</v>
      </c>
      <c r="G131">
        <v>1</v>
      </c>
      <c r="H131">
        <v>0</v>
      </c>
      <c r="I131">
        <v>1</v>
      </c>
      <c r="J131">
        <v>11</v>
      </c>
      <c r="K131">
        <v>322</v>
      </c>
      <c r="L131">
        <v>332</v>
      </c>
      <c r="M131">
        <v>0.82</v>
      </c>
      <c r="N131">
        <v>23.1</v>
      </c>
      <c r="O131" t="s">
        <v>407</v>
      </c>
      <c r="P131" t="s">
        <v>408</v>
      </c>
      <c r="Q131">
        <v>547684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409</v>
      </c>
      <c r="AK131">
        <v>10.693</v>
      </c>
      <c r="AL131">
        <v>24.185780266666701</v>
      </c>
      <c r="AM131">
        <f t="shared" si="3"/>
        <v>13.492780266666701</v>
      </c>
      <c r="AN131">
        <v>16.207132383577001</v>
      </c>
      <c r="AO131">
        <v>4.68181818181818E-2</v>
      </c>
      <c r="AP131" s="19" t="s">
        <v>407</v>
      </c>
    </row>
    <row r="132" spans="2:42" ht="57.75" customHeight="1">
      <c r="B132">
        <f t="shared" si="2"/>
        <v>0</v>
      </c>
      <c r="C132" s="19" t="s">
        <v>410</v>
      </c>
      <c r="D132" t="s">
        <v>411</v>
      </c>
      <c r="E132" s="17">
        <v>88.888999999999996</v>
      </c>
      <c r="F132">
        <v>9</v>
      </c>
      <c r="G132">
        <v>1</v>
      </c>
      <c r="H132">
        <v>0</v>
      </c>
      <c r="I132">
        <v>1</v>
      </c>
      <c r="J132">
        <v>9</v>
      </c>
      <c r="K132">
        <v>254</v>
      </c>
      <c r="L132">
        <v>262</v>
      </c>
      <c r="M132">
        <v>2.2999999999999998</v>
      </c>
      <c r="N132">
        <v>21.6</v>
      </c>
      <c r="O132" t="s">
        <v>410</v>
      </c>
      <c r="P132" t="s">
        <v>412</v>
      </c>
      <c r="Q132">
        <v>865334</v>
      </c>
      <c r="R132">
        <v>639413</v>
      </c>
      <c r="S132">
        <v>360184</v>
      </c>
      <c r="T132">
        <v>675785</v>
      </c>
      <c r="U132">
        <v>854532</v>
      </c>
      <c r="V132">
        <v>485361</v>
      </c>
      <c r="W132">
        <v>644797</v>
      </c>
      <c r="X132">
        <v>940459</v>
      </c>
      <c r="Y132">
        <v>789598</v>
      </c>
      <c r="Z132">
        <v>0</v>
      </c>
      <c r="AA132">
        <v>0</v>
      </c>
      <c r="AB132">
        <v>0</v>
      </c>
      <c r="AC132">
        <v>175969</v>
      </c>
      <c r="AD132">
        <v>205575</v>
      </c>
      <c r="AE132">
        <v>0</v>
      </c>
      <c r="AF132">
        <v>0</v>
      </c>
      <c r="AG132">
        <v>0</v>
      </c>
      <c r="AH132">
        <v>0</v>
      </c>
      <c r="AI132" t="s">
        <v>413</v>
      </c>
      <c r="AK132">
        <v>13.8706</v>
      </c>
      <c r="AL132">
        <v>13.924280266666701</v>
      </c>
      <c r="AM132">
        <f t="shared" si="3"/>
        <v>5.3680266666701115E-2</v>
      </c>
      <c r="AN132">
        <v>18.406437572986199</v>
      </c>
      <c r="AO132">
        <v>17.466666666666601</v>
      </c>
      <c r="AP132" s="19" t="s">
        <v>410</v>
      </c>
    </row>
    <row r="133" spans="2:42" ht="57.75" customHeight="1">
      <c r="B133">
        <f t="shared" si="2"/>
        <v>0</v>
      </c>
      <c r="C133" s="19" t="s">
        <v>414</v>
      </c>
      <c r="D133" t="s">
        <v>415</v>
      </c>
      <c r="E133" s="17">
        <v>93.75</v>
      </c>
      <c r="F133">
        <v>16</v>
      </c>
      <c r="G133">
        <v>1</v>
      </c>
      <c r="H133">
        <v>0</v>
      </c>
      <c r="I133">
        <v>1</v>
      </c>
      <c r="J133">
        <v>16</v>
      </c>
      <c r="K133">
        <v>63</v>
      </c>
      <c r="L133">
        <v>78</v>
      </c>
      <c r="M133" s="1">
        <v>3.1700000000000001E-6</v>
      </c>
      <c r="N133">
        <v>38.9</v>
      </c>
      <c r="O133" t="s">
        <v>414</v>
      </c>
      <c r="P133" t="s">
        <v>416</v>
      </c>
      <c r="Q133">
        <v>994414</v>
      </c>
      <c r="R133">
        <v>1330000</v>
      </c>
      <c r="S133">
        <v>1130000</v>
      </c>
      <c r="T133">
        <v>1310000</v>
      </c>
      <c r="U133">
        <v>1160000</v>
      </c>
      <c r="V133">
        <v>1040000</v>
      </c>
      <c r="W133">
        <v>887791</v>
      </c>
      <c r="X133">
        <v>1020000</v>
      </c>
      <c r="Y133">
        <v>581540</v>
      </c>
      <c r="Z133">
        <v>357270</v>
      </c>
      <c r="AA133">
        <v>554719</v>
      </c>
      <c r="AB133">
        <v>429857</v>
      </c>
      <c r="AC133">
        <v>738257</v>
      </c>
      <c r="AD133">
        <v>472879</v>
      </c>
      <c r="AE133">
        <v>643530</v>
      </c>
      <c r="AF133">
        <v>1140000</v>
      </c>
      <c r="AG133">
        <v>1200000</v>
      </c>
      <c r="AH133">
        <v>1220000</v>
      </c>
      <c r="AI133" t="s">
        <v>417</v>
      </c>
      <c r="AK133">
        <v>15.8805</v>
      </c>
      <c r="AL133">
        <v>15.8514048666667</v>
      </c>
      <c r="AM133">
        <f t="shared" si="3"/>
        <v>2.9095133333299827E-2</v>
      </c>
      <c r="AN133">
        <v>31.265330285279699</v>
      </c>
      <c r="AO133">
        <v>25.087499999999999</v>
      </c>
      <c r="AP133" s="19" t="s">
        <v>414</v>
      </c>
    </row>
    <row r="134" spans="2:42" ht="57.75" customHeight="1">
      <c r="B134">
        <f t="shared" si="2"/>
        <v>0</v>
      </c>
      <c r="C134" s="19" t="s">
        <v>418</v>
      </c>
      <c r="D134" t="s">
        <v>419</v>
      </c>
      <c r="E134" s="17">
        <v>86.667000000000002</v>
      </c>
      <c r="F134">
        <v>15</v>
      </c>
      <c r="G134">
        <v>2</v>
      </c>
      <c r="H134">
        <v>0</v>
      </c>
      <c r="I134">
        <v>1</v>
      </c>
      <c r="J134">
        <v>15</v>
      </c>
      <c r="K134">
        <v>434</v>
      </c>
      <c r="L134">
        <v>448</v>
      </c>
      <c r="M134">
        <v>5.0000000000000001E-3</v>
      </c>
      <c r="N134">
        <v>30</v>
      </c>
      <c r="O134" t="s">
        <v>418</v>
      </c>
      <c r="P134" t="s">
        <v>420</v>
      </c>
      <c r="Q134">
        <v>106514</v>
      </c>
      <c r="R134">
        <v>79611.7</v>
      </c>
      <c r="S134">
        <v>0</v>
      </c>
      <c r="T134">
        <v>92248.1</v>
      </c>
      <c r="U134">
        <v>50386.5</v>
      </c>
      <c r="V134">
        <v>0</v>
      </c>
      <c r="W134">
        <v>59493.3</v>
      </c>
      <c r="X134">
        <v>64493.5</v>
      </c>
      <c r="Y134">
        <v>40656.699999999997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421</v>
      </c>
      <c r="AK134">
        <v>18.37</v>
      </c>
      <c r="AL134">
        <v>21.417606266666699</v>
      </c>
      <c r="AM134">
        <f t="shared" si="3"/>
        <v>3.0476062666666976</v>
      </c>
      <c r="AN134">
        <v>23.717686855142102</v>
      </c>
      <c r="AO134">
        <v>5.2</v>
      </c>
      <c r="AP134" s="19" t="s">
        <v>418</v>
      </c>
    </row>
    <row r="135" spans="2:42" ht="57.75" customHeight="1">
      <c r="B135">
        <f t="shared" si="2"/>
        <v>0</v>
      </c>
      <c r="C135" s="19" t="s">
        <v>422</v>
      </c>
      <c r="D135" t="s">
        <v>423</v>
      </c>
      <c r="E135" s="17">
        <v>68.75</v>
      </c>
      <c r="F135">
        <v>16</v>
      </c>
      <c r="G135">
        <v>5</v>
      </c>
      <c r="H135">
        <v>0</v>
      </c>
      <c r="I135">
        <v>1</v>
      </c>
      <c r="J135">
        <v>16</v>
      </c>
      <c r="K135">
        <v>113</v>
      </c>
      <c r="L135">
        <v>128</v>
      </c>
      <c r="M135">
        <v>8.0000000000000002E-3</v>
      </c>
      <c r="N135">
        <v>29.3</v>
      </c>
      <c r="O135" t="s">
        <v>422</v>
      </c>
      <c r="P135" t="s">
        <v>424</v>
      </c>
      <c r="Q135" s="6">
        <v>0</v>
      </c>
      <c r="R135" s="6">
        <v>0</v>
      </c>
      <c r="S135" s="6">
        <v>0</v>
      </c>
      <c r="T135" s="6">
        <v>3359.25</v>
      </c>
      <c r="U135" s="6">
        <v>4830.83</v>
      </c>
      <c r="V135" s="6">
        <v>0</v>
      </c>
      <c r="W135" s="6">
        <v>0</v>
      </c>
      <c r="X135" s="6">
        <v>0</v>
      </c>
      <c r="Y135" s="6">
        <v>0</v>
      </c>
      <c r="Z135" s="6">
        <v>276170</v>
      </c>
      <c r="AA135" s="6">
        <v>434052</v>
      </c>
      <c r="AB135" s="6">
        <v>1170000</v>
      </c>
      <c r="AC135" s="6">
        <v>722186</v>
      </c>
      <c r="AD135" s="6">
        <v>645730</v>
      </c>
      <c r="AE135" s="6">
        <v>345088</v>
      </c>
      <c r="AF135" s="6">
        <v>0</v>
      </c>
      <c r="AG135" s="6">
        <v>0</v>
      </c>
      <c r="AH135" s="6">
        <v>0</v>
      </c>
      <c r="AI135" s="6" t="s">
        <v>425</v>
      </c>
      <c r="AK135">
        <v>15.2155</v>
      </c>
      <c r="AL135">
        <v>24.014765733333299</v>
      </c>
      <c r="AM135">
        <f t="shared" si="3"/>
        <v>8.7992657333332982</v>
      </c>
      <c r="AN135">
        <v>22.7198652658657</v>
      </c>
      <c r="AO135">
        <v>11.390625</v>
      </c>
      <c r="AP135" s="10" t="s">
        <v>422</v>
      </c>
    </row>
    <row r="136" spans="2:42" ht="57.75" customHeight="1">
      <c r="B136">
        <f t="shared" si="2"/>
        <v>1</v>
      </c>
      <c r="C136" s="19" t="s">
        <v>426</v>
      </c>
      <c r="D136" t="s">
        <v>423</v>
      </c>
      <c r="E136" s="17">
        <v>75</v>
      </c>
      <c r="F136">
        <v>20</v>
      </c>
      <c r="G136">
        <v>5</v>
      </c>
      <c r="H136">
        <v>0</v>
      </c>
      <c r="I136">
        <v>1</v>
      </c>
      <c r="J136">
        <v>20</v>
      </c>
      <c r="K136">
        <v>92</v>
      </c>
      <c r="L136">
        <v>111</v>
      </c>
      <c r="M136" s="1">
        <v>4.6400000000000003E-5</v>
      </c>
      <c r="N136">
        <v>35.799999999999997</v>
      </c>
      <c r="O136" t="s">
        <v>427</v>
      </c>
      <c r="P136" t="s">
        <v>428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66720</v>
      </c>
      <c r="Y136" s="6">
        <v>0</v>
      </c>
      <c r="Z136" s="6">
        <v>228957</v>
      </c>
      <c r="AA136" s="6">
        <v>405218</v>
      </c>
      <c r="AB136" s="6">
        <v>279691</v>
      </c>
      <c r="AC136" s="6">
        <v>563912</v>
      </c>
      <c r="AD136" s="6">
        <v>579913</v>
      </c>
      <c r="AE136" s="6">
        <v>460174</v>
      </c>
      <c r="AF136" s="6">
        <v>0</v>
      </c>
      <c r="AG136" s="6">
        <v>128192</v>
      </c>
      <c r="AH136" s="6">
        <v>0</v>
      </c>
      <c r="AI136" s="6" t="s">
        <v>425</v>
      </c>
      <c r="AK136">
        <v>29.936</v>
      </c>
      <c r="AL136">
        <v>26.357135799999998</v>
      </c>
      <c r="AM136">
        <f t="shared" si="3"/>
        <v>3.5788642000000017</v>
      </c>
      <c r="AN136">
        <v>24.835126074612401</v>
      </c>
      <c r="AO136">
        <v>3.5047619047618999</v>
      </c>
      <c r="AP136" s="19" t="s">
        <v>426</v>
      </c>
    </row>
    <row r="137" spans="2:42" ht="57.75" customHeight="1">
      <c r="B137">
        <f t="shared" si="2"/>
        <v>0</v>
      </c>
      <c r="C137" s="19" t="s">
        <v>429</v>
      </c>
      <c r="D137" t="s">
        <v>248</v>
      </c>
      <c r="E137" s="17">
        <v>92.308000000000007</v>
      </c>
      <c r="F137">
        <v>13</v>
      </c>
      <c r="G137">
        <v>1</v>
      </c>
      <c r="H137">
        <v>0</v>
      </c>
      <c r="I137">
        <v>1</v>
      </c>
      <c r="J137">
        <v>13</v>
      </c>
      <c r="K137">
        <v>19</v>
      </c>
      <c r="L137">
        <v>31</v>
      </c>
      <c r="M137">
        <v>2.1999999999999999E-2</v>
      </c>
      <c r="N137">
        <v>28.1</v>
      </c>
      <c r="O137" t="s">
        <v>429</v>
      </c>
      <c r="P137" t="s">
        <v>430</v>
      </c>
      <c r="Q137">
        <v>586635</v>
      </c>
      <c r="R137">
        <v>791395</v>
      </c>
      <c r="S137">
        <v>629270</v>
      </c>
      <c r="T137">
        <v>2040000</v>
      </c>
      <c r="U137">
        <v>6840000</v>
      </c>
      <c r="V137">
        <v>1940000</v>
      </c>
      <c r="W137">
        <v>2390000</v>
      </c>
      <c r="X137">
        <v>3070000</v>
      </c>
      <c r="Y137">
        <v>3180000</v>
      </c>
      <c r="Z137">
        <v>1060000</v>
      </c>
      <c r="AA137">
        <v>722358</v>
      </c>
      <c r="AB137">
        <v>976011</v>
      </c>
      <c r="AC137">
        <v>1320000</v>
      </c>
      <c r="AD137">
        <v>33900000</v>
      </c>
      <c r="AE137">
        <v>1260000</v>
      </c>
      <c r="AF137">
        <v>2820000</v>
      </c>
      <c r="AG137">
        <v>1910000</v>
      </c>
      <c r="AH137">
        <v>1460000</v>
      </c>
      <c r="AI137" t="s">
        <v>431</v>
      </c>
      <c r="AK137">
        <v>12.170500000000001</v>
      </c>
      <c r="AL137">
        <v>12.1287587333332</v>
      </c>
      <c r="AM137">
        <f t="shared" si="3"/>
        <v>4.1741266666800669E-2</v>
      </c>
      <c r="AN137">
        <v>48.196676926603502</v>
      </c>
      <c r="AO137">
        <v>54.830769230769199</v>
      </c>
      <c r="AP137" s="19" t="s">
        <v>429</v>
      </c>
    </row>
    <row r="138" spans="2:42" ht="57.75" customHeight="1">
      <c r="B138">
        <f t="shared" si="2"/>
        <v>0</v>
      </c>
      <c r="C138" s="19" t="s">
        <v>432</v>
      </c>
      <c r="D138" t="s">
        <v>251</v>
      </c>
      <c r="E138" s="17">
        <v>85.713999999999999</v>
      </c>
      <c r="F138">
        <v>14</v>
      </c>
      <c r="G138">
        <v>2</v>
      </c>
      <c r="H138">
        <v>0</v>
      </c>
      <c r="I138">
        <v>3</v>
      </c>
      <c r="J138">
        <v>16</v>
      </c>
      <c r="K138">
        <v>103</v>
      </c>
      <c r="L138">
        <v>116</v>
      </c>
      <c r="M138">
        <v>2.1000000000000001E-2</v>
      </c>
      <c r="N138">
        <v>28.1</v>
      </c>
      <c r="O138" t="s">
        <v>433</v>
      </c>
      <c r="P138" t="s">
        <v>253</v>
      </c>
      <c r="Q138">
        <v>0</v>
      </c>
      <c r="R138">
        <v>0</v>
      </c>
      <c r="S138">
        <v>0</v>
      </c>
      <c r="T138">
        <v>0</v>
      </c>
      <c r="U138">
        <v>1186.8499999999999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9282.48</v>
      </c>
      <c r="AE138">
        <v>0</v>
      </c>
      <c r="AF138">
        <v>0</v>
      </c>
      <c r="AG138">
        <v>0</v>
      </c>
      <c r="AH138">
        <v>0</v>
      </c>
      <c r="AI138" t="s">
        <v>434</v>
      </c>
      <c r="AK138">
        <v>14.260999999999999</v>
      </c>
      <c r="AL138">
        <v>27.1599811333333</v>
      </c>
      <c r="AM138">
        <f t="shared" si="3"/>
        <v>12.898981133333301</v>
      </c>
      <c r="AN138">
        <v>27.0447640104464</v>
      </c>
      <c r="AO138">
        <v>15.9375</v>
      </c>
      <c r="AP138" s="19" t="s">
        <v>432</v>
      </c>
    </row>
    <row r="139" spans="2:42" ht="57.75" customHeight="1">
      <c r="B139">
        <f t="shared" si="2"/>
        <v>0</v>
      </c>
      <c r="C139" s="19" t="s">
        <v>435</v>
      </c>
      <c r="D139" t="s">
        <v>436</v>
      </c>
      <c r="E139" s="17">
        <v>93.332999999999998</v>
      </c>
      <c r="F139">
        <v>15</v>
      </c>
      <c r="G139">
        <v>1</v>
      </c>
      <c r="H139">
        <v>0</v>
      </c>
      <c r="I139">
        <v>1</v>
      </c>
      <c r="J139">
        <v>15</v>
      </c>
      <c r="K139">
        <v>75</v>
      </c>
      <c r="L139">
        <v>89</v>
      </c>
      <c r="M139" s="1">
        <v>4.15E-4</v>
      </c>
      <c r="N139">
        <v>32.700000000000003</v>
      </c>
      <c r="O139" t="s">
        <v>435</v>
      </c>
      <c r="P139" t="s">
        <v>437</v>
      </c>
      <c r="Q139" s="6">
        <v>0</v>
      </c>
      <c r="R139" s="6">
        <v>0</v>
      </c>
      <c r="S139" s="6">
        <v>0</v>
      </c>
      <c r="T139" s="6">
        <v>4897.6000000000004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 t="s">
        <v>438</v>
      </c>
      <c r="AK139">
        <v>24.2941</v>
      </c>
      <c r="AL139">
        <v>24.447137600000001</v>
      </c>
      <c r="AM139">
        <f t="shared" si="3"/>
        <v>0.15303760000000111</v>
      </c>
      <c r="AN139">
        <v>26.9918772092472</v>
      </c>
      <c r="AO139">
        <v>16.149999999999999</v>
      </c>
      <c r="AP139" s="19" t="s">
        <v>435</v>
      </c>
    </row>
    <row r="140" spans="2:42" ht="57.75" customHeight="1">
      <c r="B140">
        <f t="shared" si="2"/>
        <v>1</v>
      </c>
      <c r="C140" s="19" t="s">
        <v>439</v>
      </c>
      <c r="D140" t="s">
        <v>306</v>
      </c>
      <c r="E140" s="17">
        <v>92.308000000000007</v>
      </c>
      <c r="F140">
        <v>13</v>
      </c>
      <c r="G140">
        <v>1</v>
      </c>
      <c r="H140">
        <v>0</v>
      </c>
      <c r="I140">
        <v>1</v>
      </c>
      <c r="J140">
        <v>13</v>
      </c>
      <c r="K140">
        <v>55</v>
      </c>
      <c r="L140">
        <v>67</v>
      </c>
      <c r="M140">
        <v>0.14000000000000001</v>
      </c>
      <c r="N140">
        <v>25.8</v>
      </c>
      <c r="O140" t="s">
        <v>439</v>
      </c>
      <c r="P140" t="s">
        <v>440</v>
      </c>
      <c r="Q140" s="6">
        <v>90263.2</v>
      </c>
      <c r="R140" s="6">
        <v>56850.1</v>
      </c>
      <c r="S140" s="6">
        <v>54182.3</v>
      </c>
      <c r="T140" s="6">
        <v>52999.199999999997</v>
      </c>
      <c r="U140" s="6">
        <v>47682.9</v>
      </c>
      <c r="V140" s="6">
        <v>38888</v>
      </c>
      <c r="W140" s="6">
        <v>42752.800000000003</v>
      </c>
      <c r="X140" s="6">
        <v>53719.7</v>
      </c>
      <c r="Y140" s="6">
        <v>46086.5</v>
      </c>
      <c r="Z140" s="6">
        <v>91802.8</v>
      </c>
      <c r="AA140" s="6">
        <v>65695.600000000006</v>
      </c>
      <c r="AB140" s="6">
        <v>61282.5</v>
      </c>
      <c r="AC140" s="6">
        <v>123720</v>
      </c>
      <c r="AD140" s="6">
        <v>216105</v>
      </c>
      <c r="AE140" s="6">
        <v>78204.5</v>
      </c>
      <c r="AF140" s="6">
        <v>150801</v>
      </c>
      <c r="AG140" s="6">
        <v>170364</v>
      </c>
      <c r="AH140" s="6">
        <v>188340</v>
      </c>
      <c r="AI140" s="6" t="s">
        <v>438</v>
      </c>
      <c r="AK140">
        <v>10.4604</v>
      </c>
      <c r="AL140">
        <v>25.2749402666667</v>
      </c>
      <c r="AM140">
        <f t="shared" si="3"/>
        <v>14.8145402666667</v>
      </c>
      <c r="AN140">
        <v>20.620829398816799</v>
      </c>
      <c r="AO140">
        <v>8.5538461538461501</v>
      </c>
      <c r="AP140" s="19" t="s">
        <v>439</v>
      </c>
    </row>
    <row r="141" spans="2:42" ht="57.75" customHeight="1">
      <c r="B141">
        <f t="shared" si="2"/>
        <v>0</v>
      </c>
      <c r="C141" s="19" t="s">
        <v>441</v>
      </c>
      <c r="D141" t="s">
        <v>419</v>
      </c>
      <c r="E141" s="17">
        <v>90</v>
      </c>
      <c r="F141">
        <v>10</v>
      </c>
      <c r="G141">
        <v>1</v>
      </c>
      <c r="H141">
        <v>0</v>
      </c>
      <c r="I141">
        <v>1</v>
      </c>
      <c r="J141">
        <v>10</v>
      </c>
      <c r="K141">
        <v>270</v>
      </c>
      <c r="L141">
        <v>279</v>
      </c>
      <c r="M141">
        <v>0.68</v>
      </c>
      <c r="N141">
        <v>23.5</v>
      </c>
      <c r="O141" t="s">
        <v>441</v>
      </c>
      <c r="P141" t="s">
        <v>442</v>
      </c>
      <c r="Q141">
        <v>438458</v>
      </c>
      <c r="R141">
        <v>0</v>
      </c>
      <c r="S141">
        <v>266798</v>
      </c>
      <c r="T141">
        <v>221306</v>
      </c>
      <c r="U141">
        <v>277508</v>
      </c>
      <c r="V141">
        <v>276806</v>
      </c>
      <c r="W141">
        <v>235145</v>
      </c>
      <c r="X141">
        <v>192758</v>
      </c>
      <c r="Y141">
        <v>0</v>
      </c>
      <c r="Z141">
        <v>0</v>
      </c>
      <c r="AA141">
        <v>0</v>
      </c>
      <c r="AB141">
        <v>195499</v>
      </c>
      <c r="AC141">
        <v>0</v>
      </c>
      <c r="AD141">
        <v>0</v>
      </c>
      <c r="AE141">
        <v>164541</v>
      </c>
      <c r="AF141">
        <v>0</v>
      </c>
      <c r="AG141">
        <v>0</v>
      </c>
      <c r="AH141">
        <v>0</v>
      </c>
      <c r="AI141" t="s">
        <v>443</v>
      </c>
      <c r="AK141">
        <v>7.19496</v>
      </c>
      <c r="AL141">
        <v>19.9363398666667</v>
      </c>
      <c r="AM141">
        <f t="shared" si="3"/>
        <v>12.7413798666667</v>
      </c>
      <c r="AN141">
        <v>18.005458360111898</v>
      </c>
      <c r="AO141">
        <v>6.7500000000000004E-2</v>
      </c>
      <c r="AP141" s="19" t="s">
        <v>441</v>
      </c>
    </row>
    <row r="142" spans="2:42" ht="57.75" customHeight="1">
      <c r="B142">
        <f t="shared" si="2"/>
        <v>0</v>
      </c>
      <c r="C142" s="19" t="s">
        <v>444</v>
      </c>
      <c r="D142" t="s">
        <v>445</v>
      </c>
      <c r="E142" s="17">
        <v>73.332999999999998</v>
      </c>
      <c r="F142">
        <v>15</v>
      </c>
      <c r="G142">
        <v>4</v>
      </c>
      <c r="H142">
        <v>0</v>
      </c>
      <c r="I142">
        <v>1</v>
      </c>
      <c r="J142">
        <v>15</v>
      </c>
      <c r="K142">
        <v>43</v>
      </c>
      <c r="L142">
        <v>57</v>
      </c>
      <c r="M142">
        <v>7.0000000000000001E-3</v>
      </c>
      <c r="N142">
        <v>29.3</v>
      </c>
      <c r="O142" t="s">
        <v>444</v>
      </c>
      <c r="P142" t="s">
        <v>446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1629.68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377997</v>
      </c>
      <c r="AE142" s="6">
        <v>351480</v>
      </c>
      <c r="AF142" s="6">
        <v>0</v>
      </c>
      <c r="AG142" s="6">
        <v>0</v>
      </c>
      <c r="AH142" s="6">
        <v>0</v>
      </c>
      <c r="AI142" s="6" t="s">
        <v>447</v>
      </c>
      <c r="AK142">
        <v>28.822500000000002</v>
      </c>
      <c r="AL142">
        <v>28.8964647333333</v>
      </c>
      <c r="AM142">
        <f t="shared" si="3"/>
        <v>7.3964733333298227E-2</v>
      </c>
      <c r="AN142">
        <v>23.519635201338399</v>
      </c>
      <c r="AO142">
        <v>6.0533333333333301</v>
      </c>
      <c r="AP142" s="19" t="s">
        <v>444</v>
      </c>
    </row>
    <row r="143" spans="2:42" ht="57.75" customHeight="1">
      <c r="B143">
        <f t="shared" si="2"/>
        <v>1</v>
      </c>
      <c r="C143" s="19" t="s">
        <v>448</v>
      </c>
      <c r="D143" t="s">
        <v>449</v>
      </c>
      <c r="E143" s="17">
        <v>80</v>
      </c>
      <c r="F143">
        <v>25</v>
      </c>
      <c r="G143">
        <v>5</v>
      </c>
      <c r="H143">
        <v>0</v>
      </c>
      <c r="I143">
        <v>1</v>
      </c>
      <c r="J143">
        <v>25</v>
      </c>
      <c r="K143">
        <v>58</v>
      </c>
      <c r="L143">
        <v>82</v>
      </c>
      <c r="M143" s="1">
        <v>5.7900000000000001E-9</v>
      </c>
      <c r="N143">
        <v>45.8</v>
      </c>
      <c r="O143" t="s">
        <v>448</v>
      </c>
      <c r="P143" t="s">
        <v>450</v>
      </c>
      <c r="Q143" s="6">
        <v>0</v>
      </c>
      <c r="R143" s="6">
        <v>0</v>
      </c>
      <c r="S143" s="6">
        <v>74553.899999999994</v>
      </c>
      <c r="T143" s="6">
        <v>0</v>
      </c>
      <c r="U143" s="6">
        <v>132657</v>
      </c>
      <c r="V143" s="6">
        <v>0</v>
      </c>
      <c r="W143" s="6">
        <v>25989.8</v>
      </c>
      <c r="X143" s="6">
        <v>44391.8</v>
      </c>
      <c r="Y143" s="6">
        <v>45219.4</v>
      </c>
      <c r="Z143" s="6">
        <v>0</v>
      </c>
      <c r="AA143" s="6">
        <v>189376</v>
      </c>
      <c r="AB143" s="6">
        <v>251887</v>
      </c>
      <c r="AC143" s="6">
        <v>265764</v>
      </c>
      <c r="AD143" s="6">
        <v>586065</v>
      </c>
      <c r="AE143" s="6">
        <v>263441</v>
      </c>
      <c r="AF143" s="6">
        <v>114718</v>
      </c>
      <c r="AG143" s="6">
        <v>0</v>
      </c>
      <c r="AH143" s="6">
        <v>160690</v>
      </c>
      <c r="AI143" s="6" t="s">
        <v>447</v>
      </c>
      <c r="AK143">
        <v>23.828099999999999</v>
      </c>
      <c r="AL143">
        <v>25.9562590666667</v>
      </c>
      <c r="AM143">
        <f t="shared" si="3"/>
        <v>2.1281590666667007</v>
      </c>
      <c r="AN143">
        <v>28.000383830386799</v>
      </c>
      <c r="AO143">
        <v>2.5920000000000001</v>
      </c>
      <c r="AP143" s="19" t="s">
        <v>448</v>
      </c>
    </row>
    <row r="144" spans="2:42" ht="57.75" customHeight="1">
      <c r="B144">
        <f t="shared" si="2"/>
        <v>0</v>
      </c>
      <c r="C144" s="19" t="s">
        <v>451</v>
      </c>
      <c r="D144" t="s">
        <v>452</v>
      </c>
      <c r="E144" s="17">
        <v>92.856999999999999</v>
      </c>
      <c r="F144">
        <v>14</v>
      </c>
      <c r="G144">
        <v>1</v>
      </c>
      <c r="H144">
        <v>0</v>
      </c>
      <c r="I144">
        <v>1</v>
      </c>
      <c r="J144">
        <v>14</v>
      </c>
      <c r="K144">
        <v>104</v>
      </c>
      <c r="L144">
        <v>117</v>
      </c>
      <c r="M144">
        <v>2E-3</v>
      </c>
      <c r="N144">
        <v>30.8</v>
      </c>
      <c r="O144" t="s">
        <v>451</v>
      </c>
      <c r="P144" t="s">
        <v>453</v>
      </c>
      <c r="Q144" s="18">
        <v>0</v>
      </c>
      <c r="R144" s="18">
        <v>0</v>
      </c>
      <c r="S144" s="18">
        <v>0</v>
      </c>
      <c r="T144" s="18">
        <v>0</v>
      </c>
      <c r="U144" s="18">
        <v>10197.799999999999</v>
      </c>
      <c r="V144" s="18">
        <v>0</v>
      </c>
      <c r="W144" s="18">
        <v>2811.45</v>
      </c>
      <c r="X144" s="18">
        <v>0</v>
      </c>
      <c r="Y144" s="18">
        <v>11848</v>
      </c>
      <c r="Z144" s="18">
        <v>26905.8</v>
      </c>
      <c r="AA144" s="18">
        <v>16741.7</v>
      </c>
      <c r="AB144" s="18">
        <v>0</v>
      </c>
      <c r="AC144" s="18">
        <v>26471.1</v>
      </c>
      <c r="AD144" s="18">
        <v>53993.8</v>
      </c>
      <c r="AE144" s="18">
        <v>31529.9</v>
      </c>
      <c r="AF144" s="18">
        <v>13880.9</v>
      </c>
      <c r="AG144" s="18">
        <v>17925</v>
      </c>
      <c r="AH144" s="18">
        <v>13411.7</v>
      </c>
      <c r="AI144" s="18" t="s">
        <v>454</v>
      </c>
      <c r="AK144">
        <v>14.6845</v>
      </c>
      <c r="AL144">
        <v>21.956503666666698</v>
      </c>
      <c r="AM144">
        <f t="shared" si="3"/>
        <v>7.2720036666666985</v>
      </c>
      <c r="AN144">
        <v>23.1198811041323</v>
      </c>
      <c r="AO144">
        <v>7.2857142857142803</v>
      </c>
      <c r="AP144" s="19" t="s">
        <v>451</v>
      </c>
    </row>
    <row r="145" spans="2:42" ht="57.75" customHeight="1">
      <c r="B145">
        <f t="shared" si="2"/>
        <v>1</v>
      </c>
      <c r="C145" s="19" t="s">
        <v>455</v>
      </c>
      <c r="D145" t="s">
        <v>456</v>
      </c>
      <c r="E145" s="17">
        <v>93.332999999999998</v>
      </c>
      <c r="F145">
        <v>15</v>
      </c>
      <c r="G145">
        <v>1</v>
      </c>
      <c r="H145">
        <v>0</v>
      </c>
      <c r="I145">
        <v>1</v>
      </c>
      <c r="J145">
        <v>15</v>
      </c>
      <c r="K145">
        <v>43</v>
      </c>
      <c r="L145">
        <v>57</v>
      </c>
      <c r="M145" s="1">
        <v>1.6200000000000001E-4</v>
      </c>
      <c r="N145">
        <v>33.5</v>
      </c>
      <c r="O145" t="s">
        <v>455</v>
      </c>
      <c r="P145" t="s">
        <v>457</v>
      </c>
      <c r="Q145" s="18">
        <v>0</v>
      </c>
      <c r="R145" s="18">
        <v>0</v>
      </c>
      <c r="S145" s="18">
        <v>0</v>
      </c>
      <c r="T145" s="18">
        <v>0</v>
      </c>
      <c r="U145" s="18">
        <v>270111</v>
      </c>
      <c r="V145" s="18">
        <v>0</v>
      </c>
      <c r="W145" s="18">
        <v>145808</v>
      </c>
      <c r="X145" s="18">
        <v>136922</v>
      </c>
      <c r="Y145" s="18">
        <v>0</v>
      </c>
      <c r="Z145" s="18">
        <v>506962</v>
      </c>
      <c r="AA145" s="18">
        <v>481076</v>
      </c>
      <c r="AB145" s="18">
        <v>632208</v>
      </c>
      <c r="AC145" s="18">
        <v>568359</v>
      </c>
      <c r="AD145" s="18">
        <v>2000000</v>
      </c>
      <c r="AE145" s="18">
        <v>1090000</v>
      </c>
      <c r="AF145" s="18">
        <v>820200</v>
      </c>
      <c r="AG145" s="18">
        <v>190039</v>
      </c>
      <c r="AH145" s="18">
        <v>314397</v>
      </c>
      <c r="AI145" s="18" t="s">
        <v>454</v>
      </c>
      <c r="AK145">
        <v>23.062100000000001</v>
      </c>
      <c r="AL145">
        <v>27.521374533333301</v>
      </c>
      <c r="AM145">
        <f t="shared" si="3"/>
        <v>4.4592745333332999</v>
      </c>
      <c r="AN145">
        <v>20.4588904370605</v>
      </c>
      <c r="AO145">
        <v>6.08</v>
      </c>
      <c r="AP145" s="19" t="s">
        <v>455</v>
      </c>
    </row>
    <row r="146" spans="2:42" ht="57.75" customHeight="1">
      <c r="B146">
        <f t="shared" si="2"/>
        <v>0</v>
      </c>
      <c r="C146" s="19" t="s">
        <v>458</v>
      </c>
      <c r="D146" t="s">
        <v>449</v>
      </c>
      <c r="E146" s="17">
        <v>96</v>
      </c>
      <c r="F146">
        <v>25</v>
      </c>
      <c r="G146">
        <v>1</v>
      </c>
      <c r="H146">
        <v>0</v>
      </c>
      <c r="I146">
        <v>1</v>
      </c>
      <c r="J146">
        <v>25</v>
      </c>
      <c r="K146">
        <v>58</v>
      </c>
      <c r="L146">
        <v>82</v>
      </c>
      <c r="M146" s="1">
        <v>4.4399999999999997E-12</v>
      </c>
      <c r="N146">
        <v>53.9</v>
      </c>
      <c r="O146" t="s">
        <v>458</v>
      </c>
      <c r="P146" t="s">
        <v>450</v>
      </c>
      <c r="Q146">
        <v>7994.34</v>
      </c>
      <c r="R146">
        <v>0</v>
      </c>
      <c r="S146">
        <v>0</v>
      </c>
      <c r="T146">
        <v>174005</v>
      </c>
      <c r="U146">
        <v>282792</v>
      </c>
      <c r="V146">
        <v>0</v>
      </c>
      <c r="W146">
        <v>74272.2</v>
      </c>
      <c r="X146">
        <v>316963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6174.37</v>
      </c>
      <c r="AE146">
        <v>0</v>
      </c>
      <c r="AF146">
        <v>0</v>
      </c>
      <c r="AG146">
        <v>0</v>
      </c>
      <c r="AH146">
        <v>0</v>
      </c>
      <c r="AI146" t="s">
        <v>459</v>
      </c>
      <c r="AK146">
        <v>20.1096</v>
      </c>
      <c r="AL146">
        <v>26.706131800000001</v>
      </c>
      <c r="AM146">
        <f t="shared" si="3"/>
        <v>6.5965318000000011</v>
      </c>
      <c r="AN146">
        <v>32.412501691245303</v>
      </c>
      <c r="AO146">
        <v>18.611999999999998</v>
      </c>
      <c r="AP146" s="19" t="s">
        <v>458</v>
      </c>
    </row>
    <row r="147" spans="2:42" ht="57.75" customHeight="1">
      <c r="B147">
        <f t="shared" si="2"/>
        <v>0</v>
      </c>
      <c r="C147" s="19" t="s">
        <v>460</v>
      </c>
      <c r="D147" t="s">
        <v>456</v>
      </c>
      <c r="E147" s="17">
        <v>80</v>
      </c>
      <c r="F147">
        <v>15</v>
      </c>
      <c r="G147">
        <v>3</v>
      </c>
      <c r="H147">
        <v>0</v>
      </c>
      <c r="I147">
        <v>1</v>
      </c>
      <c r="J147">
        <v>15</v>
      </c>
      <c r="K147">
        <v>43</v>
      </c>
      <c r="L147">
        <v>57</v>
      </c>
      <c r="M147">
        <v>1E-3</v>
      </c>
      <c r="N147">
        <v>31.2</v>
      </c>
      <c r="O147" t="s">
        <v>460</v>
      </c>
      <c r="P147" t="s">
        <v>457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144051</v>
      </c>
      <c r="AE147">
        <v>95967.7</v>
      </c>
      <c r="AF147">
        <v>182943</v>
      </c>
      <c r="AG147">
        <v>0</v>
      </c>
      <c r="AH147">
        <v>0</v>
      </c>
      <c r="AI147" t="s">
        <v>461</v>
      </c>
      <c r="AK147">
        <v>22.846</v>
      </c>
      <c r="AL147">
        <v>23.7471742</v>
      </c>
      <c r="AM147">
        <f t="shared" si="3"/>
        <v>0.90117419999999981</v>
      </c>
      <c r="AN147">
        <v>18.3489411306394</v>
      </c>
      <c r="AO147">
        <v>3.28</v>
      </c>
      <c r="AP147" s="19" t="s">
        <v>460</v>
      </c>
    </row>
    <row r="148" spans="2:42" ht="57.75" customHeight="1">
      <c r="B148">
        <f t="shared" si="2"/>
        <v>0</v>
      </c>
      <c r="C148" s="19" t="s">
        <v>462</v>
      </c>
      <c r="D148" t="s">
        <v>153</v>
      </c>
      <c r="E148" s="17">
        <v>90</v>
      </c>
      <c r="F148">
        <v>10</v>
      </c>
      <c r="G148">
        <v>1</v>
      </c>
      <c r="H148">
        <v>0</v>
      </c>
      <c r="I148">
        <v>1</v>
      </c>
      <c r="J148">
        <v>10</v>
      </c>
      <c r="K148">
        <v>82</v>
      </c>
      <c r="L148">
        <v>91</v>
      </c>
      <c r="M148">
        <v>3.3</v>
      </c>
      <c r="N148">
        <v>21.6</v>
      </c>
      <c r="O148" t="s">
        <v>462</v>
      </c>
      <c r="P148" t="s">
        <v>463</v>
      </c>
      <c r="Q148">
        <v>305160</v>
      </c>
      <c r="R148">
        <v>0</v>
      </c>
      <c r="S148">
        <v>203189</v>
      </c>
      <c r="T148">
        <v>357726</v>
      </c>
      <c r="U148">
        <v>260546</v>
      </c>
      <c r="V148">
        <v>373715</v>
      </c>
      <c r="W148">
        <v>290069</v>
      </c>
      <c r="X148">
        <v>243463</v>
      </c>
      <c r="Y148">
        <v>264264</v>
      </c>
      <c r="Z148">
        <v>0</v>
      </c>
      <c r="AA148">
        <v>0</v>
      </c>
      <c r="AB148">
        <v>0</v>
      </c>
      <c r="AC148">
        <v>275792</v>
      </c>
      <c r="AD148">
        <v>0</v>
      </c>
      <c r="AE148">
        <v>0</v>
      </c>
      <c r="AF148">
        <v>0</v>
      </c>
      <c r="AG148">
        <v>129954</v>
      </c>
      <c r="AH148">
        <v>187732</v>
      </c>
      <c r="AI148" t="s">
        <v>464</v>
      </c>
      <c r="AK148">
        <v>5.8959400000000004</v>
      </c>
      <c r="AL148">
        <v>13.938319533333299</v>
      </c>
      <c r="AM148">
        <f t="shared" si="3"/>
        <v>8.0423795333332997</v>
      </c>
      <c r="AN148">
        <v>13.5367155121614</v>
      </c>
      <c r="AO148">
        <v>6.6000000000000003E-2</v>
      </c>
      <c r="AP148" s="19" t="s">
        <v>462</v>
      </c>
    </row>
    <row r="149" spans="2:42" ht="57.75" customHeight="1">
      <c r="B149">
        <f t="shared" si="2"/>
        <v>0</v>
      </c>
      <c r="C149" s="19" t="s">
        <v>465</v>
      </c>
      <c r="D149" t="s">
        <v>466</v>
      </c>
      <c r="E149" s="17">
        <v>93.75</v>
      </c>
      <c r="F149">
        <v>16</v>
      </c>
      <c r="G149">
        <v>1</v>
      </c>
      <c r="H149">
        <v>0</v>
      </c>
      <c r="I149">
        <v>1</v>
      </c>
      <c r="J149">
        <v>16</v>
      </c>
      <c r="K149">
        <v>31</v>
      </c>
      <c r="L149">
        <v>46</v>
      </c>
      <c r="M149">
        <v>1E-3</v>
      </c>
      <c r="N149">
        <v>32</v>
      </c>
      <c r="O149" t="s">
        <v>465</v>
      </c>
      <c r="P149" t="s">
        <v>467</v>
      </c>
      <c r="Q149">
        <v>116884</v>
      </c>
      <c r="R149">
        <v>185047</v>
      </c>
      <c r="S149">
        <v>180569</v>
      </c>
      <c r="T149">
        <v>228685</v>
      </c>
      <c r="U149">
        <v>208966</v>
      </c>
      <c r="V149">
        <v>175552</v>
      </c>
      <c r="W149">
        <v>161462</v>
      </c>
      <c r="X149">
        <v>168948</v>
      </c>
      <c r="Y149">
        <v>144547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144094</v>
      </c>
      <c r="AG149">
        <v>97115.3</v>
      </c>
      <c r="AH149">
        <v>0</v>
      </c>
      <c r="AI149" t="s">
        <v>468</v>
      </c>
      <c r="AK149">
        <v>28.876999999999999</v>
      </c>
      <c r="AL149">
        <v>28.914320199999999</v>
      </c>
      <c r="AM149">
        <f t="shared" si="3"/>
        <v>3.7320199999999915E-2</v>
      </c>
      <c r="AN149">
        <v>32.723704193727301</v>
      </c>
      <c r="AO149">
        <v>19.96875</v>
      </c>
      <c r="AP149" s="19" t="s">
        <v>465</v>
      </c>
    </row>
    <row r="150" spans="2:42" ht="57.75" customHeight="1">
      <c r="B150">
        <f t="shared" si="2"/>
        <v>0</v>
      </c>
      <c r="C150" s="19" t="s">
        <v>469</v>
      </c>
      <c r="D150" t="s">
        <v>470</v>
      </c>
      <c r="E150" s="17">
        <v>63.636000000000003</v>
      </c>
      <c r="F150">
        <v>11</v>
      </c>
      <c r="G150">
        <v>4</v>
      </c>
      <c r="H150">
        <v>0</v>
      </c>
      <c r="I150">
        <v>3</v>
      </c>
      <c r="J150">
        <v>13</v>
      </c>
      <c r="K150">
        <v>25</v>
      </c>
      <c r="L150">
        <v>35</v>
      </c>
      <c r="M150">
        <v>8.1999999999999993</v>
      </c>
      <c r="N150">
        <v>20.399999999999999</v>
      </c>
      <c r="O150" t="s">
        <v>471</v>
      </c>
      <c r="P150" t="s">
        <v>472</v>
      </c>
      <c r="Q150">
        <v>0</v>
      </c>
      <c r="R150">
        <v>0</v>
      </c>
      <c r="S150">
        <v>0</v>
      </c>
      <c r="T150">
        <v>71298.3</v>
      </c>
      <c r="U150">
        <v>66903</v>
      </c>
      <c r="V150">
        <v>0</v>
      </c>
      <c r="W150">
        <v>0</v>
      </c>
      <c r="X150">
        <v>159342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473</v>
      </c>
      <c r="AK150">
        <v>18.663599999999999</v>
      </c>
      <c r="AL150">
        <v>28.070477933333301</v>
      </c>
      <c r="AM150">
        <f t="shared" si="3"/>
        <v>9.4068779333333019</v>
      </c>
      <c r="AN150">
        <v>21.851241770887999</v>
      </c>
      <c r="AO150">
        <v>7.4769230769230699</v>
      </c>
      <c r="AP150" s="10" t="s">
        <v>469</v>
      </c>
    </row>
    <row r="151" spans="2:42" ht="57.75" customHeight="1">
      <c r="B151">
        <f t="shared" si="2"/>
        <v>0</v>
      </c>
      <c r="C151" s="19" t="s">
        <v>474</v>
      </c>
      <c r="D151" t="s">
        <v>475</v>
      </c>
      <c r="E151" s="17">
        <v>90</v>
      </c>
      <c r="F151">
        <v>20</v>
      </c>
      <c r="G151">
        <v>2</v>
      </c>
      <c r="H151">
        <v>0</v>
      </c>
      <c r="I151">
        <v>1</v>
      </c>
      <c r="J151">
        <v>20</v>
      </c>
      <c r="K151">
        <v>25</v>
      </c>
      <c r="L151">
        <v>44</v>
      </c>
      <c r="M151" s="1">
        <v>1.72E-7</v>
      </c>
      <c r="N151">
        <v>41.6</v>
      </c>
      <c r="O151" t="s">
        <v>474</v>
      </c>
      <c r="P151" t="s">
        <v>476</v>
      </c>
      <c r="Q151">
        <v>170981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29461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143391</v>
      </c>
      <c r="AE151">
        <v>0</v>
      </c>
      <c r="AF151">
        <v>102228</v>
      </c>
      <c r="AG151">
        <v>0</v>
      </c>
      <c r="AH151">
        <v>0</v>
      </c>
      <c r="AI151" t="s">
        <v>477</v>
      </c>
      <c r="AK151">
        <v>21.861799999999999</v>
      </c>
      <c r="AL151">
        <v>26.085391066666698</v>
      </c>
      <c r="AM151">
        <f t="shared" si="3"/>
        <v>4.2235910666666996</v>
      </c>
      <c r="AN151">
        <v>27.575550011794601</v>
      </c>
      <c r="AO151">
        <v>16.087499999999999</v>
      </c>
      <c r="AP151" s="19" t="s">
        <v>474</v>
      </c>
    </row>
    <row r="152" spans="2:42" ht="57.75" customHeight="1">
      <c r="B152">
        <f t="shared" si="2"/>
        <v>0</v>
      </c>
      <c r="C152" s="19" t="s">
        <v>478</v>
      </c>
      <c r="D152" t="s">
        <v>479</v>
      </c>
      <c r="E152" s="17">
        <v>46.667000000000002</v>
      </c>
      <c r="F152">
        <v>15</v>
      </c>
      <c r="G152">
        <v>8</v>
      </c>
      <c r="H152">
        <v>0</v>
      </c>
      <c r="I152">
        <v>1</v>
      </c>
      <c r="J152">
        <v>15</v>
      </c>
      <c r="K152">
        <v>951</v>
      </c>
      <c r="L152">
        <v>965</v>
      </c>
      <c r="M152">
        <v>8.3000000000000007</v>
      </c>
      <c r="N152">
        <v>20.8</v>
      </c>
      <c r="O152" t="s">
        <v>480</v>
      </c>
      <c r="P152" t="s">
        <v>481</v>
      </c>
      <c r="Q152" s="18">
        <v>944729</v>
      </c>
      <c r="R152" s="18">
        <v>939958</v>
      </c>
      <c r="S152" s="18">
        <v>1190000</v>
      </c>
      <c r="T152" s="18">
        <v>1130000</v>
      </c>
      <c r="U152" s="18">
        <v>860157</v>
      </c>
      <c r="V152" s="18">
        <v>1130000</v>
      </c>
      <c r="W152" s="18">
        <v>1140000</v>
      </c>
      <c r="X152" s="18">
        <v>1190000</v>
      </c>
      <c r="Y152" s="18">
        <v>1390000</v>
      </c>
      <c r="Z152" s="18">
        <v>0</v>
      </c>
      <c r="AA152" s="18">
        <v>492434</v>
      </c>
      <c r="AB152" s="18">
        <v>634180</v>
      </c>
      <c r="AC152" s="18">
        <v>812989</v>
      </c>
      <c r="AD152" s="18">
        <v>707108</v>
      </c>
      <c r="AE152" s="18">
        <v>714784</v>
      </c>
      <c r="AF152" s="18">
        <v>1110000</v>
      </c>
      <c r="AG152" s="18">
        <v>842381</v>
      </c>
      <c r="AH152" s="18">
        <v>962747</v>
      </c>
      <c r="AI152" s="18" t="s">
        <v>482</v>
      </c>
      <c r="AK152">
        <v>17.515000000000001</v>
      </c>
      <c r="AL152">
        <v>17.5477572</v>
      </c>
      <c r="AM152">
        <f t="shared" si="3"/>
        <v>3.2757199999998932E-2</v>
      </c>
      <c r="AN152">
        <v>34.882072409784598</v>
      </c>
      <c r="AO152">
        <v>19.462499999999999</v>
      </c>
      <c r="AP152" s="19" t="s">
        <v>478</v>
      </c>
    </row>
    <row r="153" spans="2:42" ht="57.75" customHeight="1">
      <c r="B153">
        <f t="shared" si="2"/>
        <v>1</v>
      </c>
      <c r="C153" s="19" t="s">
        <v>483</v>
      </c>
      <c r="D153" t="s">
        <v>484</v>
      </c>
      <c r="E153" s="17">
        <v>77.778000000000006</v>
      </c>
      <c r="F153">
        <v>9</v>
      </c>
      <c r="G153">
        <v>2</v>
      </c>
      <c r="H153">
        <v>0</v>
      </c>
      <c r="I153">
        <v>1</v>
      </c>
      <c r="J153">
        <v>9</v>
      </c>
      <c r="K153">
        <v>262</v>
      </c>
      <c r="L153">
        <v>270</v>
      </c>
      <c r="M153">
        <v>3</v>
      </c>
      <c r="N153">
        <v>21.6</v>
      </c>
      <c r="O153" t="s">
        <v>483</v>
      </c>
      <c r="P153" t="s">
        <v>485</v>
      </c>
      <c r="Q153" s="18">
        <v>0</v>
      </c>
      <c r="R153" s="18">
        <v>0</v>
      </c>
      <c r="S153" s="18">
        <v>0</v>
      </c>
      <c r="T153" s="18">
        <v>208364</v>
      </c>
      <c r="U153" s="18">
        <v>105609</v>
      </c>
      <c r="V153" s="18">
        <v>223403</v>
      </c>
      <c r="W153" s="18">
        <v>227044</v>
      </c>
      <c r="X153" s="18">
        <v>253718</v>
      </c>
      <c r="Y153" s="18">
        <v>219928</v>
      </c>
      <c r="Z153" s="18">
        <v>0</v>
      </c>
      <c r="AA153" s="18">
        <v>0</v>
      </c>
      <c r="AB153" s="18">
        <v>0</v>
      </c>
      <c r="AC153" s="18">
        <v>0</v>
      </c>
      <c r="AD153" s="18">
        <v>0</v>
      </c>
      <c r="AE153" s="18">
        <v>0</v>
      </c>
      <c r="AF153" s="18">
        <v>38588.199999999997</v>
      </c>
      <c r="AG153" s="18">
        <v>0</v>
      </c>
      <c r="AH153" s="18">
        <v>93480.7</v>
      </c>
      <c r="AI153" s="18" t="s">
        <v>482</v>
      </c>
      <c r="AK153">
        <v>15.964399999999999</v>
      </c>
      <c r="AL153">
        <v>18.9864273333333</v>
      </c>
      <c r="AM153">
        <f t="shared" si="3"/>
        <v>3.0220273333333001</v>
      </c>
      <c r="AN153">
        <v>13.4040482667471</v>
      </c>
      <c r="AO153">
        <v>7.1666666666666601E-2</v>
      </c>
      <c r="AP153" s="19" t="s">
        <v>483</v>
      </c>
    </row>
    <row r="154" spans="2:42" ht="57.75" customHeight="1">
      <c r="B154">
        <f t="shared" si="2"/>
        <v>0</v>
      </c>
      <c r="C154" s="19" t="s">
        <v>486</v>
      </c>
      <c r="D154" t="s">
        <v>153</v>
      </c>
      <c r="E154" s="17">
        <v>90</v>
      </c>
      <c r="F154">
        <v>10</v>
      </c>
      <c r="G154">
        <v>1</v>
      </c>
      <c r="H154">
        <v>0</v>
      </c>
      <c r="I154">
        <v>1</v>
      </c>
      <c r="J154">
        <v>10</v>
      </c>
      <c r="K154">
        <v>567</v>
      </c>
      <c r="L154">
        <v>576</v>
      </c>
      <c r="M154">
        <v>0.38</v>
      </c>
      <c r="N154">
        <v>24.3</v>
      </c>
      <c r="O154" t="s">
        <v>486</v>
      </c>
      <c r="P154" t="s">
        <v>487</v>
      </c>
      <c r="Q154">
        <v>90252.2</v>
      </c>
      <c r="R154">
        <v>0</v>
      </c>
      <c r="S154">
        <v>0</v>
      </c>
      <c r="T154">
        <v>91877.4</v>
      </c>
      <c r="U154">
        <v>113052</v>
      </c>
      <c r="V154">
        <v>90047.7</v>
      </c>
      <c r="W154">
        <v>48719.5</v>
      </c>
      <c r="X154">
        <v>104731</v>
      </c>
      <c r="Y154">
        <v>82671.7</v>
      </c>
      <c r="Z154">
        <v>0</v>
      </c>
      <c r="AA154">
        <v>0</v>
      </c>
      <c r="AB154">
        <v>0</v>
      </c>
      <c r="AC154">
        <v>0</v>
      </c>
      <c r="AD154">
        <v>162755</v>
      </c>
      <c r="AE154">
        <v>0</v>
      </c>
      <c r="AF154">
        <v>0</v>
      </c>
      <c r="AG154">
        <v>0</v>
      </c>
      <c r="AH154">
        <v>0</v>
      </c>
      <c r="AI154" t="s">
        <v>488</v>
      </c>
      <c r="AK154">
        <v>5.4609199999999998</v>
      </c>
      <c r="AL154">
        <v>17.475801733333299</v>
      </c>
      <c r="AM154">
        <f t="shared" si="3"/>
        <v>12.014881733333299</v>
      </c>
      <c r="AN154">
        <v>15.4387514730362</v>
      </c>
      <c r="AO154">
        <v>6.9000000000000006E-2</v>
      </c>
      <c r="AP154" s="19" t="s">
        <v>486</v>
      </c>
    </row>
    <row r="155" spans="2:42" ht="57.75" customHeight="1">
      <c r="B155">
        <f t="shared" si="2"/>
        <v>0</v>
      </c>
      <c r="C155" s="19" t="s">
        <v>489</v>
      </c>
      <c r="D155" t="s">
        <v>490</v>
      </c>
      <c r="E155" s="17">
        <v>72.727000000000004</v>
      </c>
      <c r="F155">
        <v>11</v>
      </c>
      <c r="G155">
        <v>3</v>
      </c>
      <c r="H155">
        <v>0</v>
      </c>
      <c r="I155">
        <v>2</v>
      </c>
      <c r="J155">
        <v>12</v>
      </c>
      <c r="K155">
        <v>769</v>
      </c>
      <c r="L155">
        <v>779</v>
      </c>
      <c r="M155">
        <v>0.7</v>
      </c>
      <c r="N155">
        <v>23.5</v>
      </c>
      <c r="O155" t="s">
        <v>491</v>
      </c>
      <c r="P155" t="s">
        <v>492</v>
      </c>
      <c r="Q155" s="18">
        <v>0</v>
      </c>
      <c r="R155" s="18">
        <v>0</v>
      </c>
      <c r="S155" s="18">
        <v>0</v>
      </c>
      <c r="T155" s="18">
        <v>0</v>
      </c>
      <c r="U155" s="18">
        <v>0</v>
      </c>
      <c r="V155" s="18">
        <v>0</v>
      </c>
      <c r="W155" s="18">
        <v>0</v>
      </c>
      <c r="X155" s="18">
        <v>0</v>
      </c>
      <c r="Y155" s="18">
        <v>0</v>
      </c>
      <c r="Z155" s="18">
        <v>804348</v>
      </c>
      <c r="AA155" s="18">
        <v>967549</v>
      </c>
      <c r="AB155" s="18">
        <v>932655</v>
      </c>
      <c r="AC155" s="18">
        <v>925456</v>
      </c>
      <c r="AD155" s="18">
        <v>1680000</v>
      </c>
      <c r="AE155" s="18">
        <v>1550000</v>
      </c>
      <c r="AF155" s="18">
        <v>810368</v>
      </c>
      <c r="AG155" s="18">
        <v>1050000</v>
      </c>
      <c r="AH155" s="18">
        <v>847729</v>
      </c>
      <c r="AI155" s="18" t="s">
        <v>493</v>
      </c>
      <c r="AK155">
        <v>16.146100000000001</v>
      </c>
      <c r="AL155">
        <v>16.176993866666699</v>
      </c>
      <c r="AM155">
        <f t="shared" si="3"/>
        <v>3.0893866666698244E-2</v>
      </c>
      <c r="AN155">
        <v>29.0584020746204</v>
      </c>
      <c r="AO155">
        <v>41.85</v>
      </c>
      <c r="AP155" s="19" t="s">
        <v>489</v>
      </c>
    </row>
    <row r="156" spans="2:42" ht="57.75" customHeight="1">
      <c r="B156">
        <f t="shared" si="2"/>
        <v>1</v>
      </c>
      <c r="C156" s="19" t="s">
        <v>494</v>
      </c>
      <c r="D156" t="s">
        <v>490</v>
      </c>
      <c r="E156" s="17">
        <v>87.5</v>
      </c>
      <c r="F156">
        <v>8</v>
      </c>
      <c r="G156">
        <v>1</v>
      </c>
      <c r="H156">
        <v>0</v>
      </c>
      <c r="I156">
        <v>1</v>
      </c>
      <c r="J156">
        <v>8</v>
      </c>
      <c r="K156">
        <v>796</v>
      </c>
      <c r="L156">
        <v>803</v>
      </c>
      <c r="M156">
        <v>3.2</v>
      </c>
      <c r="N156">
        <v>21.2</v>
      </c>
      <c r="O156" t="s">
        <v>495</v>
      </c>
      <c r="P156" t="s">
        <v>496</v>
      </c>
      <c r="Q156" s="18">
        <v>962953</v>
      </c>
      <c r="R156" s="18">
        <v>637380</v>
      </c>
      <c r="S156" s="18">
        <v>543967</v>
      </c>
      <c r="T156" s="18">
        <v>758592</v>
      </c>
      <c r="U156" s="18">
        <v>414534</v>
      </c>
      <c r="V156" s="18">
        <v>316641</v>
      </c>
      <c r="W156" s="18">
        <v>202661</v>
      </c>
      <c r="X156" s="18">
        <v>131650</v>
      </c>
      <c r="Y156" s="18">
        <v>242829</v>
      </c>
      <c r="Z156" s="18">
        <v>660338</v>
      </c>
      <c r="AA156" s="18">
        <v>753560</v>
      </c>
      <c r="AB156" s="18">
        <v>438488</v>
      </c>
      <c r="AC156" s="18">
        <v>0</v>
      </c>
      <c r="AD156" s="18">
        <v>753911</v>
      </c>
      <c r="AE156" s="18">
        <v>753257</v>
      </c>
      <c r="AF156" s="18">
        <v>323746</v>
      </c>
      <c r="AG156" s="18">
        <v>0</v>
      </c>
      <c r="AH156" s="18">
        <v>0</v>
      </c>
      <c r="AI156" s="18" t="s">
        <v>493</v>
      </c>
      <c r="AK156">
        <v>12.8544</v>
      </c>
      <c r="AL156">
        <v>21.8816469333333</v>
      </c>
      <c r="AM156">
        <f t="shared" si="3"/>
        <v>9.0272469333333003</v>
      </c>
      <c r="AN156">
        <v>17.3738568862214</v>
      </c>
      <c r="AO156">
        <v>1.2</v>
      </c>
      <c r="AP156" s="19" t="s">
        <v>494</v>
      </c>
    </row>
    <row r="157" spans="2:42" ht="57.75" customHeight="1">
      <c r="B157">
        <f t="shared" si="2"/>
        <v>1</v>
      </c>
      <c r="C157" s="19" t="s">
        <v>497</v>
      </c>
      <c r="D157" t="s">
        <v>490</v>
      </c>
      <c r="E157" s="17">
        <v>90</v>
      </c>
      <c r="F157">
        <v>10</v>
      </c>
      <c r="G157">
        <v>1</v>
      </c>
      <c r="H157">
        <v>0</v>
      </c>
      <c r="I157">
        <v>1</v>
      </c>
      <c r="J157">
        <v>10</v>
      </c>
      <c r="K157">
        <v>757</v>
      </c>
      <c r="L157">
        <v>766</v>
      </c>
      <c r="M157">
        <v>4.5</v>
      </c>
      <c r="N157">
        <v>21.2</v>
      </c>
      <c r="O157" t="s">
        <v>497</v>
      </c>
      <c r="P157" t="s">
        <v>498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  <c r="V157" s="18">
        <v>0</v>
      </c>
      <c r="W157" s="18">
        <v>0</v>
      </c>
      <c r="X157" s="18">
        <v>0</v>
      </c>
      <c r="Y157" s="18">
        <v>0</v>
      </c>
      <c r="Z157" s="18">
        <v>422481</v>
      </c>
      <c r="AA157" s="18">
        <v>1510000</v>
      </c>
      <c r="AB157" s="18">
        <v>190885</v>
      </c>
      <c r="AC157" s="18">
        <v>1160000</v>
      </c>
      <c r="AD157" s="18">
        <v>681213</v>
      </c>
      <c r="AE157" s="18">
        <v>914086</v>
      </c>
      <c r="AF157" s="18">
        <v>768474</v>
      </c>
      <c r="AG157" s="18">
        <v>367978</v>
      </c>
      <c r="AH157" s="18">
        <v>1100000</v>
      </c>
      <c r="AI157" s="18" t="s">
        <v>493</v>
      </c>
      <c r="AK157">
        <v>10.079000000000001</v>
      </c>
      <c r="AL157">
        <v>10.0439326666667</v>
      </c>
      <c r="AM157">
        <f t="shared" si="3"/>
        <v>3.5067333333300255E-2</v>
      </c>
      <c r="AN157">
        <v>18.698304093694102</v>
      </c>
      <c r="AO157">
        <v>19.2</v>
      </c>
      <c r="AP157" s="19" t="s">
        <v>497</v>
      </c>
    </row>
    <row r="158" spans="2:42" ht="57.75" customHeight="1">
      <c r="B158">
        <f t="shared" si="2"/>
        <v>0</v>
      </c>
      <c r="C158" s="19" t="s">
        <v>499</v>
      </c>
      <c r="D158" t="s">
        <v>500</v>
      </c>
      <c r="E158" s="17">
        <v>77.778000000000006</v>
      </c>
      <c r="F158">
        <v>9</v>
      </c>
      <c r="G158">
        <v>2</v>
      </c>
      <c r="H158">
        <v>0</v>
      </c>
      <c r="I158">
        <v>1</v>
      </c>
      <c r="J158">
        <v>9</v>
      </c>
      <c r="K158">
        <v>109</v>
      </c>
      <c r="L158">
        <v>117</v>
      </c>
      <c r="M158">
        <v>4.5999999999999996</v>
      </c>
      <c r="N158">
        <v>21.2</v>
      </c>
      <c r="O158" t="s">
        <v>501</v>
      </c>
      <c r="P158" t="s">
        <v>502</v>
      </c>
      <c r="Q158" s="5">
        <v>3860000</v>
      </c>
      <c r="R158" s="5">
        <v>3970000</v>
      </c>
      <c r="S158" s="5">
        <v>3710000</v>
      </c>
      <c r="T158" s="5">
        <v>4360000</v>
      </c>
      <c r="U158" s="5">
        <v>4910000</v>
      </c>
      <c r="V158" s="5">
        <v>3640000</v>
      </c>
      <c r="W158" s="5">
        <v>3320000</v>
      </c>
      <c r="X158" s="5">
        <v>2920000</v>
      </c>
      <c r="Y158" s="5">
        <v>3640000</v>
      </c>
      <c r="Z158" s="5">
        <v>2290000</v>
      </c>
      <c r="AA158" s="5">
        <v>1870000</v>
      </c>
      <c r="AB158" s="5">
        <v>2480000</v>
      </c>
      <c r="AC158" s="5">
        <v>713073</v>
      </c>
      <c r="AD158" s="5">
        <v>525335</v>
      </c>
      <c r="AE158" s="5">
        <v>1070000</v>
      </c>
      <c r="AF158" s="5">
        <v>249109</v>
      </c>
      <c r="AG158" s="5">
        <v>293129</v>
      </c>
      <c r="AH158" s="5">
        <v>338338</v>
      </c>
      <c r="AI158" s="5" t="s">
        <v>503</v>
      </c>
      <c r="AK158">
        <v>9.1484299999999994</v>
      </c>
      <c r="AL158">
        <v>9.1212181333333309</v>
      </c>
      <c r="AM158">
        <f t="shared" si="3"/>
        <v>2.7211866666668527E-2</v>
      </c>
      <c r="AN158">
        <v>25.257665614976801</v>
      </c>
      <c r="AO158">
        <v>28.274999999999999</v>
      </c>
      <c r="AP158" s="19" t="s">
        <v>499</v>
      </c>
    </row>
    <row r="159" spans="2:42" ht="57.75" customHeight="1">
      <c r="B159">
        <f t="shared" si="2"/>
        <v>1</v>
      </c>
      <c r="C159" s="19" t="s">
        <v>504</v>
      </c>
      <c r="D159" t="s">
        <v>500</v>
      </c>
      <c r="E159" s="17">
        <v>77.778000000000006</v>
      </c>
      <c r="F159">
        <v>9</v>
      </c>
      <c r="G159">
        <v>2</v>
      </c>
      <c r="H159">
        <v>0</v>
      </c>
      <c r="I159">
        <v>1</v>
      </c>
      <c r="J159">
        <v>9</v>
      </c>
      <c r="K159">
        <v>109</v>
      </c>
      <c r="L159">
        <v>117</v>
      </c>
      <c r="M159">
        <v>4.9000000000000004</v>
      </c>
      <c r="N159">
        <v>21.2</v>
      </c>
      <c r="O159" t="s">
        <v>501</v>
      </c>
      <c r="P159" t="s">
        <v>502</v>
      </c>
      <c r="Q159" s="5">
        <v>0</v>
      </c>
      <c r="R159" s="5">
        <v>0</v>
      </c>
      <c r="S159" s="5">
        <v>0</v>
      </c>
      <c r="T159" s="5">
        <v>0</v>
      </c>
      <c r="U159" s="5">
        <v>434.358</v>
      </c>
      <c r="V159" s="5">
        <v>637.74400000000003</v>
      </c>
      <c r="W159" s="5">
        <v>55648.4</v>
      </c>
      <c r="X159" s="5">
        <v>0</v>
      </c>
      <c r="Y159" s="5">
        <v>63012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 t="s">
        <v>503</v>
      </c>
      <c r="AK159">
        <v>7.7005299999999997</v>
      </c>
      <c r="AL159">
        <v>23.2337593333333</v>
      </c>
      <c r="AM159">
        <f t="shared" si="3"/>
        <v>15.533229333333299</v>
      </c>
      <c r="AN159">
        <v>14.603636072150801</v>
      </c>
      <c r="AO159">
        <v>8.6545454545454508</v>
      </c>
      <c r="AP159" s="19" t="s">
        <v>504</v>
      </c>
    </row>
    <row r="160" spans="2:42" ht="57.75" customHeight="1">
      <c r="B160">
        <f t="shared" si="2"/>
        <v>0</v>
      </c>
      <c r="C160" s="19" t="s">
        <v>505</v>
      </c>
      <c r="D160" t="s">
        <v>506</v>
      </c>
      <c r="E160" s="17">
        <v>92.856999999999999</v>
      </c>
      <c r="F160">
        <v>14</v>
      </c>
      <c r="G160">
        <v>1</v>
      </c>
      <c r="H160">
        <v>0</v>
      </c>
      <c r="I160">
        <v>1</v>
      </c>
      <c r="J160">
        <v>14</v>
      </c>
      <c r="K160">
        <v>607</v>
      </c>
      <c r="L160">
        <v>620</v>
      </c>
      <c r="M160">
        <v>1.0999999999999999E-2</v>
      </c>
      <c r="N160">
        <v>28.9</v>
      </c>
      <c r="O160" t="s">
        <v>505</v>
      </c>
      <c r="P160" t="s">
        <v>507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54821.5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508</v>
      </c>
      <c r="AK160">
        <v>12.130599999999999</v>
      </c>
      <c r="AL160">
        <v>27.9702782666667</v>
      </c>
      <c r="AM160">
        <f t="shared" si="3"/>
        <v>15.8396782666667</v>
      </c>
      <c r="AN160">
        <v>17.448789312407399</v>
      </c>
      <c r="AO160">
        <v>12.375</v>
      </c>
      <c r="AP160" s="19" t="s">
        <v>505</v>
      </c>
    </row>
    <row r="161" spans="2:42" ht="57.75" customHeight="1">
      <c r="B161">
        <f t="shared" si="2"/>
        <v>0</v>
      </c>
      <c r="C161" s="19" t="s">
        <v>509</v>
      </c>
      <c r="D161" t="s">
        <v>510</v>
      </c>
      <c r="E161" s="17">
        <v>76</v>
      </c>
      <c r="F161">
        <v>25</v>
      </c>
      <c r="G161">
        <v>6</v>
      </c>
      <c r="H161">
        <v>0</v>
      </c>
      <c r="I161">
        <v>1</v>
      </c>
      <c r="J161">
        <v>25</v>
      </c>
      <c r="K161">
        <v>71</v>
      </c>
      <c r="L161">
        <v>95</v>
      </c>
      <c r="M161" s="1">
        <v>1.2500000000000001E-6</v>
      </c>
      <c r="N161">
        <v>40</v>
      </c>
      <c r="O161" t="s">
        <v>509</v>
      </c>
      <c r="P161" t="s">
        <v>511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3710000</v>
      </c>
      <c r="AA161" s="5">
        <v>4410000</v>
      </c>
      <c r="AB161" s="5">
        <v>4890000</v>
      </c>
      <c r="AC161" s="5">
        <v>7010000</v>
      </c>
      <c r="AD161" s="5">
        <v>4980000</v>
      </c>
      <c r="AE161" s="5">
        <v>4810000</v>
      </c>
      <c r="AF161" s="5">
        <v>4900000</v>
      </c>
      <c r="AG161" s="5">
        <v>5000000</v>
      </c>
      <c r="AH161" s="5">
        <v>5950000</v>
      </c>
      <c r="AI161" s="5" t="s">
        <v>512</v>
      </c>
      <c r="AK161">
        <v>26.9528</v>
      </c>
      <c r="AL161">
        <v>25.793455000000002</v>
      </c>
      <c r="AM161">
        <f t="shared" si="3"/>
        <v>1.1593449999999983</v>
      </c>
      <c r="AN161">
        <v>37.937519737212398</v>
      </c>
      <c r="AO161">
        <v>11.13</v>
      </c>
      <c r="AP161" s="19" t="s">
        <v>509</v>
      </c>
    </row>
    <row r="162" spans="2:42" ht="57.75" customHeight="1">
      <c r="B162">
        <f>IF(AI162=AI161,1,0)</f>
        <v>1</v>
      </c>
      <c r="C162" s="19" t="s">
        <v>513</v>
      </c>
      <c r="D162" t="s">
        <v>510</v>
      </c>
      <c r="E162" s="17">
        <v>75</v>
      </c>
      <c r="F162">
        <v>16</v>
      </c>
      <c r="G162">
        <v>4</v>
      </c>
      <c r="H162">
        <v>0</v>
      </c>
      <c r="I162">
        <v>1</v>
      </c>
      <c r="J162">
        <v>16</v>
      </c>
      <c r="K162">
        <v>27</v>
      </c>
      <c r="L162">
        <v>42</v>
      </c>
      <c r="M162">
        <v>2.4E-2</v>
      </c>
      <c r="N162">
        <v>28.1</v>
      </c>
      <c r="O162" t="s">
        <v>513</v>
      </c>
      <c r="P162" t="s">
        <v>514</v>
      </c>
      <c r="Q162" s="5">
        <v>0</v>
      </c>
      <c r="R162" s="5">
        <v>0</v>
      </c>
      <c r="S162" s="5">
        <v>0</v>
      </c>
      <c r="T162" s="5">
        <v>19496.2</v>
      </c>
      <c r="U162" s="5">
        <v>0</v>
      </c>
      <c r="V162" s="5">
        <v>7534.95</v>
      </c>
      <c r="W162" s="5">
        <v>7715.35</v>
      </c>
      <c r="X162" s="5">
        <v>7918.09</v>
      </c>
      <c r="Y162" s="5">
        <v>0</v>
      </c>
      <c r="Z162" s="5">
        <v>68382.100000000006</v>
      </c>
      <c r="AA162" s="5">
        <v>55538.1</v>
      </c>
      <c r="AB162" s="5">
        <v>75404.800000000003</v>
      </c>
      <c r="AC162" s="5">
        <v>65129.8</v>
      </c>
      <c r="AD162" s="5">
        <v>56674.9</v>
      </c>
      <c r="AE162" s="5">
        <v>70695.3</v>
      </c>
      <c r="AF162" s="5">
        <v>54267.5</v>
      </c>
      <c r="AG162" s="5">
        <v>49211.7</v>
      </c>
      <c r="AH162" s="5">
        <v>30422.3</v>
      </c>
      <c r="AI162" s="5" t="s">
        <v>512</v>
      </c>
      <c r="AK162">
        <v>19.667200000000001</v>
      </c>
      <c r="AL162">
        <v>25.992360600000001</v>
      </c>
      <c r="AM162">
        <f t="shared" si="3"/>
        <v>6.3251606000000002</v>
      </c>
      <c r="AN162">
        <v>17.974034991300201</v>
      </c>
      <c r="AO162">
        <v>4.9749999999999996</v>
      </c>
      <c r="AP162" s="19" t="s">
        <v>513</v>
      </c>
    </row>
    <row r="163" spans="2:42" ht="57.75" customHeight="1">
      <c r="B163">
        <f t="shared" si="2"/>
        <v>0</v>
      </c>
      <c r="C163" s="19" t="s">
        <v>515</v>
      </c>
      <c r="D163" t="s">
        <v>516</v>
      </c>
      <c r="E163" s="17">
        <v>54.545000000000002</v>
      </c>
      <c r="F163">
        <v>11</v>
      </c>
      <c r="G163">
        <v>5</v>
      </c>
      <c r="H163">
        <v>0</v>
      </c>
      <c r="I163">
        <v>4</v>
      </c>
      <c r="J163">
        <v>14</v>
      </c>
      <c r="K163">
        <v>393</v>
      </c>
      <c r="L163">
        <v>403</v>
      </c>
      <c r="M163">
        <v>4.2</v>
      </c>
      <c r="N163">
        <v>21.6</v>
      </c>
      <c r="O163" t="s">
        <v>517</v>
      </c>
      <c r="P163" t="s">
        <v>518</v>
      </c>
      <c r="Q163">
        <v>0</v>
      </c>
      <c r="R163">
        <v>0</v>
      </c>
      <c r="S163">
        <v>0</v>
      </c>
      <c r="T163">
        <v>105954</v>
      </c>
      <c r="U163">
        <v>190792</v>
      </c>
      <c r="V163">
        <v>87792.2</v>
      </c>
      <c r="W163">
        <v>0</v>
      </c>
      <c r="X163">
        <v>140288</v>
      </c>
      <c r="Y163">
        <v>239136</v>
      </c>
      <c r="Z163">
        <v>0</v>
      </c>
      <c r="AA163">
        <v>293079</v>
      </c>
      <c r="AB163">
        <v>183597</v>
      </c>
      <c r="AC163">
        <v>357789</v>
      </c>
      <c r="AD163">
        <v>111513</v>
      </c>
      <c r="AE163">
        <v>0</v>
      </c>
      <c r="AF163">
        <v>0</v>
      </c>
      <c r="AG163">
        <v>0</v>
      </c>
      <c r="AH163">
        <v>0</v>
      </c>
      <c r="AI163" t="s">
        <v>519</v>
      </c>
      <c r="AK163">
        <v>15.8169</v>
      </c>
      <c r="AL163">
        <v>24.095206466666699</v>
      </c>
      <c r="AM163">
        <f t="shared" si="3"/>
        <v>8.2783064666666988</v>
      </c>
      <c r="AN163">
        <v>17.729621601223499</v>
      </c>
      <c r="AO163">
        <v>2.77142857142857</v>
      </c>
      <c r="AP163" s="19" t="s">
        <v>515</v>
      </c>
    </row>
    <row r="164" spans="2:42" ht="57.75" customHeight="1">
      <c r="B164">
        <f t="shared" si="2"/>
        <v>0</v>
      </c>
      <c r="C164" s="19" t="s">
        <v>520</v>
      </c>
      <c r="D164" t="s">
        <v>521</v>
      </c>
      <c r="E164" s="17">
        <v>90.909000000000006</v>
      </c>
      <c r="F164">
        <v>11</v>
      </c>
      <c r="G164">
        <v>1</v>
      </c>
      <c r="H164">
        <v>0</v>
      </c>
      <c r="I164">
        <v>1</v>
      </c>
      <c r="J164">
        <v>11</v>
      </c>
      <c r="K164">
        <v>423</v>
      </c>
      <c r="L164">
        <v>433</v>
      </c>
      <c r="M164">
        <v>0.32</v>
      </c>
      <c r="N164">
        <v>24.3</v>
      </c>
      <c r="O164" t="s">
        <v>520</v>
      </c>
      <c r="P164" t="s">
        <v>522</v>
      </c>
      <c r="Q164">
        <v>0</v>
      </c>
      <c r="R164">
        <v>184230</v>
      </c>
      <c r="S164">
        <v>309710</v>
      </c>
      <c r="T164">
        <v>164253</v>
      </c>
      <c r="U164">
        <v>106923</v>
      </c>
      <c r="V164">
        <v>177402</v>
      </c>
      <c r="W164">
        <v>253611</v>
      </c>
      <c r="X164">
        <v>116360</v>
      </c>
      <c r="Y164">
        <v>144777</v>
      </c>
      <c r="Z164">
        <v>0</v>
      </c>
      <c r="AA164">
        <v>60845.3</v>
      </c>
      <c r="AB164">
        <v>0</v>
      </c>
      <c r="AC164">
        <v>91962.2</v>
      </c>
      <c r="AD164">
        <v>0</v>
      </c>
      <c r="AE164">
        <v>0</v>
      </c>
      <c r="AF164">
        <v>324822</v>
      </c>
      <c r="AG164">
        <v>176136</v>
      </c>
      <c r="AH164">
        <v>228038</v>
      </c>
      <c r="AI164" t="s">
        <v>523</v>
      </c>
      <c r="AK164">
        <v>20.283300000000001</v>
      </c>
      <c r="AL164">
        <v>20.355124199999999</v>
      </c>
      <c r="AM164">
        <f t="shared" si="3"/>
        <v>7.1824199999998228E-2</v>
      </c>
      <c r="AN164">
        <v>16.488524384486499</v>
      </c>
      <c r="AO164">
        <v>0.9</v>
      </c>
      <c r="AP164" s="19" t="s">
        <v>520</v>
      </c>
    </row>
    <row r="165" spans="2:42" ht="57.75" customHeight="1">
      <c r="B165">
        <f t="shared" si="2"/>
        <v>0</v>
      </c>
      <c r="C165" s="19" t="s">
        <v>524</v>
      </c>
      <c r="D165" t="s">
        <v>525</v>
      </c>
      <c r="E165" s="17">
        <v>50</v>
      </c>
      <c r="F165">
        <v>16</v>
      </c>
      <c r="G165">
        <v>8</v>
      </c>
      <c r="H165">
        <v>0</v>
      </c>
      <c r="I165">
        <v>5</v>
      </c>
      <c r="J165">
        <v>20</v>
      </c>
      <c r="K165">
        <v>51</v>
      </c>
      <c r="L165">
        <v>66</v>
      </c>
      <c r="M165">
        <v>8.3000000000000007</v>
      </c>
      <c r="N165">
        <v>21.2</v>
      </c>
      <c r="O165" t="s">
        <v>526</v>
      </c>
      <c r="P165" t="s">
        <v>527</v>
      </c>
      <c r="Q165">
        <v>299487</v>
      </c>
      <c r="R165">
        <v>301764</v>
      </c>
      <c r="S165">
        <v>316124</v>
      </c>
      <c r="T165">
        <v>273683</v>
      </c>
      <c r="U165">
        <v>401480</v>
      </c>
      <c r="V165">
        <v>393904</v>
      </c>
      <c r="W165">
        <v>406660</v>
      </c>
      <c r="X165">
        <v>390216</v>
      </c>
      <c r="Y165">
        <v>409654</v>
      </c>
      <c r="Z165">
        <v>842053</v>
      </c>
      <c r="AA165">
        <v>1070000</v>
      </c>
      <c r="AB165">
        <v>565961</v>
      </c>
      <c r="AC165">
        <v>483994</v>
      </c>
      <c r="AD165">
        <v>538309</v>
      </c>
      <c r="AE165">
        <v>614335</v>
      </c>
      <c r="AF165">
        <v>721581</v>
      </c>
      <c r="AG165">
        <v>0</v>
      </c>
      <c r="AH165">
        <v>0</v>
      </c>
      <c r="AI165" t="s">
        <v>528</v>
      </c>
      <c r="AK165">
        <v>22.400300000000001</v>
      </c>
      <c r="AL165">
        <v>22.4894385333332</v>
      </c>
      <c r="AM165">
        <f t="shared" si="3"/>
        <v>8.9138533333198211E-2</v>
      </c>
      <c r="AN165">
        <v>39.132414256356597</v>
      </c>
      <c r="AO165">
        <v>17.512499999999999</v>
      </c>
      <c r="AP165" s="19" t="s">
        <v>524</v>
      </c>
    </row>
    <row r="166" spans="2:42" ht="57.75" customHeight="1">
      <c r="B166">
        <f t="shared" si="2"/>
        <v>0</v>
      </c>
      <c r="C166" s="19" t="s">
        <v>529</v>
      </c>
      <c r="D166" t="s">
        <v>530</v>
      </c>
      <c r="E166" s="17">
        <v>86.667000000000002</v>
      </c>
      <c r="F166">
        <v>15</v>
      </c>
      <c r="G166">
        <v>2</v>
      </c>
      <c r="H166">
        <v>0</v>
      </c>
      <c r="I166">
        <v>1</v>
      </c>
      <c r="J166">
        <v>15</v>
      </c>
      <c r="K166">
        <v>73</v>
      </c>
      <c r="L166">
        <v>87</v>
      </c>
      <c r="M166">
        <v>7.5999999999999998E-2</v>
      </c>
      <c r="N166">
        <v>26.6</v>
      </c>
      <c r="O166" t="s">
        <v>529</v>
      </c>
      <c r="P166" t="s">
        <v>531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132310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124697</v>
      </c>
      <c r="AG166">
        <v>177849</v>
      </c>
      <c r="AH166">
        <v>118088</v>
      </c>
      <c r="AI166" t="s">
        <v>532</v>
      </c>
      <c r="AK166">
        <v>24.3704</v>
      </c>
      <c r="AL166">
        <v>29.0434189333332</v>
      </c>
      <c r="AM166">
        <f t="shared" si="3"/>
        <v>4.6730189333332</v>
      </c>
      <c r="AN166">
        <v>18.584306317059699</v>
      </c>
      <c r="AO166">
        <v>11.85</v>
      </c>
      <c r="AP166" s="19" t="s">
        <v>529</v>
      </c>
    </row>
    <row r="167" spans="2:42" ht="57.75" customHeight="1">
      <c r="B167">
        <f t="shared" si="2"/>
        <v>0</v>
      </c>
      <c r="C167" s="19" t="s">
        <v>533</v>
      </c>
      <c r="D167" t="s">
        <v>534</v>
      </c>
      <c r="E167" s="17">
        <v>93.332999999999998</v>
      </c>
      <c r="F167">
        <v>15</v>
      </c>
      <c r="G167">
        <v>1</v>
      </c>
      <c r="H167">
        <v>0</v>
      </c>
      <c r="I167">
        <v>1</v>
      </c>
      <c r="J167">
        <v>15</v>
      </c>
      <c r="K167">
        <v>23</v>
      </c>
      <c r="L167">
        <v>37</v>
      </c>
      <c r="M167" s="1">
        <v>8.0199999999999998E-4</v>
      </c>
      <c r="N167">
        <v>32</v>
      </c>
      <c r="O167" t="s">
        <v>533</v>
      </c>
      <c r="P167" t="s">
        <v>535</v>
      </c>
      <c r="Q167" s="5">
        <v>1721.43</v>
      </c>
      <c r="R167" s="5">
        <v>0</v>
      </c>
      <c r="S167" s="5">
        <v>0</v>
      </c>
      <c r="T167" s="5">
        <v>1593</v>
      </c>
      <c r="U167" s="5">
        <v>48207.7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3330.32</v>
      </c>
      <c r="AE167" s="5">
        <v>0</v>
      </c>
      <c r="AF167" s="5">
        <v>0</v>
      </c>
      <c r="AG167" s="5">
        <v>0</v>
      </c>
      <c r="AH167" s="5">
        <v>0</v>
      </c>
      <c r="AI167" s="5" t="s">
        <v>536</v>
      </c>
      <c r="AK167">
        <v>23.901299999999999</v>
      </c>
      <c r="AL167">
        <v>28.259081999999999</v>
      </c>
      <c r="AM167">
        <f t="shared" si="3"/>
        <v>4.3577820000000003</v>
      </c>
      <c r="AN167">
        <v>22.486672944601899</v>
      </c>
      <c r="AO167">
        <v>6.6133333333333297</v>
      </c>
      <c r="AP167" s="19" t="s">
        <v>533</v>
      </c>
    </row>
    <row r="168" spans="2:42" ht="57.75" customHeight="1">
      <c r="B168">
        <f t="shared" si="2"/>
        <v>1</v>
      </c>
      <c r="C168" s="19" t="s">
        <v>537</v>
      </c>
      <c r="D168" t="s">
        <v>538</v>
      </c>
      <c r="E168" s="17">
        <v>91.667000000000002</v>
      </c>
      <c r="F168">
        <v>12</v>
      </c>
      <c r="G168">
        <v>1</v>
      </c>
      <c r="H168">
        <v>0</v>
      </c>
      <c r="I168">
        <v>2</v>
      </c>
      <c r="J168">
        <v>13</v>
      </c>
      <c r="K168">
        <v>61</v>
      </c>
      <c r="L168">
        <v>72</v>
      </c>
      <c r="M168">
        <v>8.9999999999999993E-3</v>
      </c>
      <c r="N168">
        <v>28.9</v>
      </c>
      <c r="O168" t="s">
        <v>539</v>
      </c>
      <c r="P168" t="s">
        <v>540</v>
      </c>
      <c r="Q168" s="5">
        <v>0</v>
      </c>
      <c r="R168" s="5">
        <v>126585</v>
      </c>
      <c r="S168" s="5">
        <v>121337</v>
      </c>
      <c r="T168" s="5">
        <v>106002</v>
      </c>
      <c r="U168" s="5">
        <v>300925</v>
      </c>
      <c r="V168" s="5">
        <v>83465.100000000006</v>
      </c>
      <c r="W168" s="5">
        <v>80102.2</v>
      </c>
      <c r="X168" s="5">
        <v>87336.2</v>
      </c>
      <c r="Y168" s="5">
        <v>40977.699999999997</v>
      </c>
      <c r="Z168" s="5">
        <v>259189</v>
      </c>
      <c r="AA168" s="5">
        <v>300305</v>
      </c>
      <c r="AB168" s="5">
        <v>270442</v>
      </c>
      <c r="AC168" s="5">
        <v>230205</v>
      </c>
      <c r="AD168" s="5">
        <v>346106</v>
      </c>
      <c r="AE168" s="5">
        <v>316963</v>
      </c>
      <c r="AF168" s="5">
        <v>226792</v>
      </c>
      <c r="AG168" s="5">
        <v>148127</v>
      </c>
      <c r="AH168" s="5">
        <v>118482</v>
      </c>
      <c r="AI168" s="5" t="s">
        <v>536</v>
      </c>
      <c r="AK168">
        <v>25.1755</v>
      </c>
      <c r="AL168">
        <v>25.168011066666701</v>
      </c>
      <c r="AM168">
        <f t="shared" si="3"/>
        <v>7.4889333332990304E-3</v>
      </c>
      <c r="AN168">
        <v>25.4383152269438</v>
      </c>
      <c r="AO168">
        <v>17.035714285714199</v>
      </c>
      <c r="AP168" s="19" t="s">
        <v>537</v>
      </c>
    </row>
    <row r="169" spans="2:42" ht="57.75" customHeight="1">
      <c r="B169">
        <f t="shared" ref="B169:B232" si="4">IF(AI169=AI168,1,0)</f>
        <v>0</v>
      </c>
      <c r="C169" s="19" t="s">
        <v>541</v>
      </c>
      <c r="D169" t="s">
        <v>542</v>
      </c>
      <c r="E169" s="17">
        <v>66.667000000000002</v>
      </c>
      <c r="F169">
        <v>27</v>
      </c>
      <c r="G169">
        <v>9</v>
      </c>
      <c r="H169">
        <v>0</v>
      </c>
      <c r="I169">
        <v>1</v>
      </c>
      <c r="J169">
        <v>27</v>
      </c>
      <c r="K169">
        <v>59</v>
      </c>
      <c r="L169">
        <v>85</v>
      </c>
      <c r="M169" s="1">
        <v>1.7200000000000001E-9</v>
      </c>
      <c r="N169">
        <v>48.9</v>
      </c>
      <c r="O169" t="s">
        <v>541</v>
      </c>
      <c r="P169" t="s">
        <v>543</v>
      </c>
      <c r="Q169">
        <v>123202</v>
      </c>
      <c r="R169">
        <v>0</v>
      </c>
      <c r="S169">
        <v>79453.8</v>
      </c>
      <c r="T169">
        <v>130729</v>
      </c>
      <c r="U169">
        <v>116662</v>
      </c>
      <c r="V169">
        <v>122680</v>
      </c>
      <c r="W169">
        <v>116379</v>
      </c>
      <c r="X169">
        <v>232234</v>
      </c>
      <c r="Y169">
        <v>163935</v>
      </c>
      <c r="Z169">
        <v>0</v>
      </c>
      <c r="AA169">
        <v>0</v>
      </c>
      <c r="AB169">
        <v>0</v>
      </c>
      <c r="AC169">
        <v>80872.7</v>
      </c>
      <c r="AD169">
        <v>56997.4</v>
      </c>
      <c r="AE169">
        <v>0</v>
      </c>
      <c r="AF169">
        <v>74464.7</v>
      </c>
      <c r="AG169">
        <v>102647</v>
      </c>
      <c r="AH169">
        <v>140268</v>
      </c>
      <c r="AI169" t="s">
        <v>544</v>
      </c>
      <c r="AK169">
        <v>30.598099999999999</v>
      </c>
      <c r="AL169">
        <v>30.572651133333299</v>
      </c>
      <c r="AM169">
        <f t="shared" ref="AM169:AM232" si="5">ABS(AK169-AL169)</f>
        <v>2.5448866666700098E-2</v>
      </c>
      <c r="AN169">
        <v>51.620369759358603</v>
      </c>
      <c r="AO169">
        <v>22.466666666666601</v>
      </c>
      <c r="AP169" s="19" t="s">
        <v>541</v>
      </c>
    </row>
    <row r="170" spans="2:42" ht="57.75" customHeight="1">
      <c r="B170">
        <f t="shared" si="4"/>
        <v>0</v>
      </c>
      <c r="C170" s="19" t="s">
        <v>545</v>
      </c>
      <c r="D170" t="s">
        <v>546</v>
      </c>
      <c r="E170" s="17">
        <v>76.19</v>
      </c>
      <c r="F170">
        <v>21</v>
      </c>
      <c r="G170">
        <v>5</v>
      </c>
      <c r="H170">
        <v>0</v>
      </c>
      <c r="I170">
        <v>1</v>
      </c>
      <c r="J170">
        <v>21</v>
      </c>
      <c r="K170">
        <v>25</v>
      </c>
      <c r="L170">
        <v>45</v>
      </c>
      <c r="M170" s="1">
        <v>1.33E-6</v>
      </c>
      <c r="N170">
        <v>39.299999999999997</v>
      </c>
      <c r="O170" t="s">
        <v>545</v>
      </c>
      <c r="P170" t="s">
        <v>547</v>
      </c>
      <c r="Q170">
        <v>0</v>
      </c>
      <c r="R170">
        <v>153931</v>
      </c>
      <c r="S170">
        <v>151861</v>
      </c>
      <c r="T170">
        <v>107198</v>
      </c>
      <c r="U170">
        <v>244585</v>
      </c>
      <c r="V170">
        <v>149978</v>
      </c>
      <c r="W170">
        <v>76661.8</v>
      </c>
      <c r="X170">
        <v>189860</v>
      </c>
      <c r="Y170">
        <v>76654.899999999994</v>
      </c>
      <c r="Z170">
        <v>141564</v>
      </c>
      <c r="AA170">
        <v>161110</v>
      </c>
      <c r="AB170">
        <v>212384</v>
      </c>
      <c r="AC170">
        <v>123454</v>
      </c>
      <c r="AD170">
        <v>807684</v>
      </c>
      <c r="AE170">
        <v>497712</v>
      </c>
      <c r="AF170">
        <v>348140</v>
      </c>
      <c r="AG170">
        <v>194514</v>
      </c>
      <c r="AH170">
        <v>200321</v>
      </c>
      <c r="AI170" t="s">
        <v>548</v>
      </c>
      <c r="AK170">
        <v>24.947900000000001</v>
      </c>
      <c r="AL170">
        <v>25.091490733333298</v>
      </c>
      <c r="AM170">
        <f t="shared" si="5"/>
        <v>0.14359073333329775</v>
      </c>
      <c r="AN170">
        <v>37.397495396748702</v>
      </c>
      <c r="AO170">
        <v>20.1428571428571</v>
      </c>
      <c r="AP170" s="19" t="s">
        <v>545</v>
      </c>
    </row>
    <row r="171" spans="2:42" ht="57.75" customHeight="1">
      <c r="B171">
        <f t="shared" si="4"/>
        <v>0</v>
      </c>
      <c r="C171" s="19" t="s">
        <v>549</v>
      </c>
      <c r="D171" t="s">
        <v>550</v>
      </c>
      <c r="E171" s="17">
        <v>75</v>
      </c>
      <c r="F171">
        <v>20</v>
      </c>
      <c r="G171">
        <v>5</v>
      </c>
      <c r="H171">
        <v>0</v>
      </c>
      <c r="I171">
        <v>1</v>
      </c>
      <c r="J171">
        <v>20</v>
      </c>
      <c r="K171">
        <v>99</v>
      </c>
      <c r="L171">
        <v>118</v>
      </c>
      <c r="M171" s="1">
        <v>3.4699999999999998E-6</v>
      </c>
      <c r="N171">
        <v>38.9</v>
      </c>
      <c r="O171" t="s">
        <v>551</v>
      </c>
      <c r="P171" t="s">
        <v>552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187532</v>
      </c>
      <c r="AE171">
        <v>0</v>
      </c>
      <c r="AF171">
        <v>3062.86</v>
      </c>
      <c r="AG171">
        <v>0</v>
      </c>
      <c r="AH171">
        <v>0</v>
      </c>
      <c r="AI171" t="s">
        <v>553</v>
      </c>
      <c r="AK171">
        <v>26.867999999999999</v>
      </c>
      <c r="AL171">
        <v>29.0082952666667</v>
      </c>
      <c r="AM171">
        <f t="shared" si="5"/>
        <v>2.1402952666667012</v>
      </c>
      <c r="AN171">
        <v>28.1419266132832</v>
      </c>
      <c r="AO171">
        <v>16.21875</v>
      </c>
      <c r="AP171" s="19" t="s">
        <v>549</v>
      </c>
    </row>
    <row r="172" spans="2:42" ht="57.75" customHeight="1">
      <c r="B172">
        <f t="shared" si="4"/>
        <v>0</v>
      </c>
      <c r="C172" s="19" t="s">
        <v>554</v>
      </c>
      <c r="D172" t="s">
        <v>116</v>
      </c>
      <c r="E172" s="17">
        <v>92.856999999999999</v>
      </c>
      <c r="F172">
        <v>14</v>
      </c>
      <c r="G172">
        <v>1</v>
      </c>
      <c r="H172">
        <v>0</v>
      </c>
      <c r="I172">
        <v>1</v>
      </c>
      <c r="J172">
        <v>14</v>
      </c>
      <c r="K172">
        <v>308</v>
      </c>
      <c r="L172">
        <v>321</v>
      </c>
      <c r="M172" s="1">
        <v>2.1500000000000001E-5</v>
      </c>
      <c r="N172">
        <v>36.6</v>
      </c>
      <c r="O172" t="s">
        <v>554</v>
      </c>
      <c r="P172" t="s">
        <v>117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668761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 t="s">
        <v>555</v>
      </c>
      <c r="AK172">
        <v>19.369199999999999</v>
      </c>
      <c r="AL172">
        <v>19.3551112</v>
      </c>
      <c r="AM172">
        <f t="shared" si="5"/>
        <v>1.4088799999999679E-2</v>
      </c>
      <c r="AN172">
        <v>27.1796022172853</v>
      </c>
      <c r="AO172">
        <v>12.5142857142857</v>
      </c>
      <c r="AP172" s="19" t="s">
        <v>554</v>
      </c>
    </row>
    <row r="173" spans="2:42" ht="57.75" customHeight="1">
      <c r="B173">
        <f t="shared" si="4"/>
        <v>0</v>
      </c>
      <c r="C173" s="19" t="s">
        <v>556</v>
      </c>
      <c r="D173" t="s">
        <v>456</v>
      </c>
      <c r="E173" s="17">
        <v>86.667000000000002</v>
      </c>
      <c r="F173">
        <v>15</v>
      </c>
      <c r="G173">
        <v>2</v>
      </c>
      <c r="H173">
        <v>0</v>
      </c>
      <c r="I173">
        <v>1</v>
      </c>
      <c r="J173">
        <v>15</v>
      </c>
      <c r="K173">
        <v>43</v>
      </c>
      <c r="L173">
        <v>57</v>
      </c>
      <c r="M173" s="1">
        <v>3.19E-4</v>
      </c>
      <c r="N173">
        <v>32.700000000000003</v>
      </c>
      <c r="O173" t="s">
        <v>556</v>
      </c>
      <c r="P173" t="s">
        <v>457</v>
      </c>
      <c r="Q173">
        <v>0</v>
      </c>
      <c r="R173">
        <v>0</v>
      </c>
      <c r="S173">
        <v>0</v>
      </c>
      <c r="T173">
        <v>0</v>
      </c>
      <c r="U173">
        <v>5839.13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23810.5</v>
      </c>
      <c r="AB173">
        <v>30074.3</v>
      </c>
      <c r="AC173">
        <v>0</v>
      </c>
      <c r="AD173">
        <v>49978.5</v>
      </c>
      <c r="AE173">
        <v>34192.6</v>
      </c>
      <c r="AF173">
        <v>38946.6</v>
      </c>
      <c r="AG173">
        <v>21024.6</v>
      </c>
      <c r="AH173">
        <v>0</v>
      </c>
      <c r="AI173" t="s">
        <v>557</v>
      </c>
      <c r="AK173">
        <v>22.555599999999998</v>
      </c>
      <c r="AL173">
        <v>29.485837666666701</v>
      </c>
      <c r="AM173">
        <f t="shared" si="5"/>
        <v>6.9302376666667023</v>
      </c>
      <c r="AN173">
        <v>18.692431365284399</v>
      </c>
      <c r="AO173">
        <v>7.76</v>
      </c>
      <c r="AP173" s="19" t="s">
        <v>556</v>
      </c>
    </row>
    <row r="174" spans="2:42" ht="57.75" customHeight="1">
      <c r="B174">
        <f t="shared" si="4"/>
        <v>0</v>
      </c>
      <c r="C174" s="19" t="s">
        <v>558</v>
      </c>
      <c r="D174" t="s">
        <v>132</v>
      </c>
      <c r="E174" s="17">
        <v>76.923000000000002</v>
      </c>
      <c r="F174">
        <v>13</v>
      </c>
      <c r="G174">
        <v>3</v>
      </c>
      <c r="H174">
        <v>0</v>
      </c>
      <c r="I174">
        <v>1</v>
      </c>
      <c r="J174">
        <v>13</v>
      </c>
      <c r="K174">
        <v>70</v>
      </c>
      <c r="L174">
        <v>82</v>
      </c>
      <c r="M174">
        <v>0.31</v>
      </c>
      <c r="N174">
        <v>24.6</v>
      </c>
      <c r="O174" t="s">
        <v>558</v>
      </c>
      <c r="P174" t="s">
        <v>133</v>
      </c>
      <c r="Q174">
        <v>0</v>
      </c>
      <c r="R174">
        <v>543579</v>
      </c>
      <c r="S174">
        <v>0</v>
      </c>
      <c r="T174">
        <v>0</v>
      </c>
      <c r="U174">
        <v>9253.41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10052.9</v>
      </c>
      <c r="AD174">
        <v>18012</v>
      </c>
      <c r="AE174">
        <v>0</v>
      </c>
      <c r="AF174">
        <v>0</v>
      </c>
      <c r="AG174">
        <v>0</v>
      </c>
      <c r="AH174">
        <v>0</v>
      </c>
      <c r="AI174" t="s">
        <v>559</v>
      </c>
      <c r="AK174">
        <v>10.863</v>
      </c>
      <c r="AL174">
        <v>6.7962597333333301</v>
      </c>
      <c r="AM174">
        <f t="shared" si="5"/>
        <v>4.0667402666666694</v>
      </c>
      <c r="AN174">
        <v>19.1587566516287</v>
      </c>
      <c r="AO174">
        <v>13.3846153846153</v>
      </c>
      <c r="AP174" s="19" t="s">
        <v>558</v>
      </c>
    </row>
    <row r="175" spans="2:42" ht="57.75" customHeight="1">
      <c r="B175">
        <f t="shared" si="4"/>
        <v>0</v>
      </c>
      <c r="C175" s="19" t="s">
        <v>560</v>
      </c>
      <c r="D175" t="s">
        <v>561</v>
      </c>
      <c r="E175" s="17">
        <v>90</v>
      </c>
      <c r="F175">
        <v>10</v>
      </c>
      <c r="G175">
        <v>1</v>
      </c>
      <c r="H175">
        <v>0</v>
      </c>
      <c r="I175">
        <v>1</v>
      </c>
      <c r="J175">
        <v>10</v>
      </c>
      <c r="K175">
        <v>94</v>
      </c>
      <c r="L175">
        <v>103</v>
      </c>
      <c r="M175">
        <v>4.2</v>
      </c>
      <c r="N175">
        <v>21.2</v>
      </c>
      <c r="O175" t="s">
        <v>560</v>
      </c>
      <c r="P175" t="s">
        <v>562</v>
      </c>
      <c r="Q175">
        <v>0</v>
      </c>
      <c r="R175">
        <v>0</v>
      </c>
      <c r="S175">
        <v>0</v>
      </c>
      <c r="T175">
        <v>7736.24</v>
      </c>
      <c r="U175">
        <v>4887.97</v>
      </c>
      <c r="V175">
        <v>0</v>
      </c>
      <c r="W175">
        <v>0</v>
      </c>
      <c r="X175">
        <v>0</v>
      </c>
      <c r="Y175">
        <v>0</v>
      </c>
      <c r="Z175">
        <v>34209.599999999999</v>
      </c>
      <c r="AA175">
        <v>50367.3</v>
      </c>
      <c r="AB175">
        <v>54994</v>
      </c>
      <c r="AC175">
        <v>42340.7</v>
      </c>
      <c r="AD175">
        <v>104734</v>
      </c>
      <c r="AE175">
        <v>45093.599999999999</v>
      </c>
      <c r="AF175">
        <v>38875.300000000003</v>
      </c>
      <c r="AG175">
        <v>0</v>
      </c>
      <c r="AH175">
        <v>18366.2</v>
      </c>
      <c r="AI175" t="s">
        <v>563</v>
      </c>
      <c r="AK175">
        <v>11.840299999999999</v>
      </c>
      <c r="AL175">
        <v>11.950958866666699</v>
      </c>
      <c r="AM175">
        <f t="shared" si="5"/>
        <v>0.11065886666670011</v>
      </c>
      <c r="AN175">
        <v>13.5508962150648</v>
      </c>
      <c r="AO175">
        <v>0.81499999999999995</v>
      </c>
      <c r="AP175" s="19" t="s">
        <v>560</v>
      </c>
    </row>
    <row r="176" spans="2:42" ht="57.75" customHeight="1">
      <c r="B176">
        <f t="shared" si="4"/>
        <v>0</v>
      </c>
      <c r="C176" s="19" t="s">
        <v>564</v>
      </c>
      <c r="D176" t="s">
        <v>565</v>
      </c>
      <c r="E176" s="17">
        <v>63.636000000000003</v>
      </c>
      <c r="F176">
        <v>11</v>
      </c>
      <c r="G176">
        <v>4</v>
      </c>
      <c r="H176">
        <v>0</v>
      </c>
      <c r="I176">
        <v>1</v>
      </c>
      <c r="J176">
        <v>11</v>
      </c>
      <c r="K176">
        <v>1199</v>
      </c>
      <c r="L176">
        <v>1209</v>
      </c>
      <c r="M176">
        <v>7.4</v>
      </c>
      <c r="N176">
        <v>21.2</v>
      </c>
      <c r="O176" t="s">
        <v>566</v>
      </c>
      <c r="P176" t="s">
        <v>567</v>
      </c>
      <c r="Q176">
        <v>0</v>
      </c>
      <c r="R176">
        <v>0</v>
      </c>
      <c r="S176">
        <v>0</v>
      </c>
      <c r="T176">
        <v>0</v>
      </c>
      <c r="U176">
        <v>14000000</v>
      </c>
      <c r="V176">
        <v>83546.7</v>
      </c>
      <c r="W176">
        <v>411319</v>
      </c>
      <c r="X176">
        <v>142147</v>
      </c>
      <c r="Y176">
        <v>103081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99900000</v>
      </c>
      <c r="AG176">
        <v>0</v>
      </c>
      <c r="AH176">
        <v>16400000</v>
      </c>
      <c r="AI176" t="s">
        <v>568</v>
      </c>
      <c r="AK176">
        <v>12.0297</v>
      </c>
      <c r="AL176">
        <v>15.752454533333299</v>
      </c>
      <c r="AM176">
        <f t="shared" si="5"/>
        <v>3.7227545333332994</v>
      </c>
      <c r="AN176">
        <v>22.605166210930399</v>
      </c>
      <c r="AO176">
        <v>2.4235294117646999</v>
      </c>
      <c r="AP176" s="19" t="s">
        <v>564</v>
      </c>
    </row>
    <row r="177" spans="1:42" ht="57.75" customHeight="1">
      <c r="B177">
        <f t="shared" si="4"/>
        <v>0</v>
      </c>
      <c r="C177" s="19" t="s">
        <v>569</v>
      </c>
      <c r="D177" t="s">
        <v>490</v>
      </c>
      <c r="E177" s="17">
        <v>71.429000000000002</v>
      </c>
      <c r="F177">
        <v>14</v>
      </c>
      <c r="G177">
        <v>4</v>
      </c>
      <c r="H177">
        <v>0</v>
      </c>
      <c r="I177">
        <v>1</v>
      </c>
      <c r="J177">
        <v>14</v>
      </c>
      <c r="K177">
        <v>1194</v>
      </c>
      <c r="L177">
        <v>1207</v>
      </c>
      <c r="M177">
        <v>7.1999999999999995E-2</v>
      </c>
      <c r="N177">
        <v>26.6</v>
      </c>
      <c r="O177" t="s">
        <v>569</v>
      </c>
      <c r="P177" t="s">
        <v>570</v>
      </c>
      <c r="Q177" s="5">
        <v>2340000</v>
      </c>
      <c r="R177" s="5">
        <v>2400000</v>
      </c>
      <c r="S177" s="5">
        <v>2660000</v>
      </c>
      <c r="T177" s="5">
        <v>378961</v>
      </c>
      <c r="U177" s="5">
        <v>337837</v>
      </c>
      <c r="V177" s="5">
        <v>323318</v>
      </c>
      <c r="W177" s="5">
        <v>129967</v>
      </c>
      <c r="X177" s="5">
        <v>167127</v>
      </c>
      <c r="Y177" s="5">
        <v>112575</v>
      </c>
      <c r="Z177" s="5">
        <v>69900000</v>
      </c>
      <c r="AA177" s="5">
        <v>73800000</v>
      </c>
      <c r="AB177" s="5">
        <v>82700000</v>
      </c>
      <c r="AC177" s="5">
        <v>94000000</v>
      </c>
      <c r="AD177" s="5">
        <v>98500000</v>
      </c>
      <c r="AE177" s="5">
        <v>90900000</v>
      </c>
      <c r="AF177" s="5">
        <v>90000000</v>
      </c>
      <c r="AG177" s="5">
        <v>83500000</v>
      </c>
      <c r="AH177" s="5">
        <v>85600000</v>
      </c>
      <c r="AI177" s="5" t="s">
        <v>571</v>
      </c>
      <c r="AK177">
        <v>17.369199999999999</v>
      </c>
      <c r="AL177">
        <v>17.506428866666699</v>
      </c>
      <c r="AM177">
        <f t="shared" si="5"/>
        <v>0.13722886666669964</v>
      </c>
      <c r="AN177">
        <v>50.886676331778901</v>
      </c>
      <c r="AO177">
        <v>57.985714285714202</v>
      </c>
      <c r="AP177" s="19" t="s">
        <v>569</v>
      </c>
    </row>
    <row r="178" spans="1:42" ht="57.75" customHeight="1">
      <c r="B178">
        <f t="shared" si="4"/>
        <v>1</v>
      </c>
      <c r="C178" s="19" t="s">
        <v>572</v>
      </c>
      <c r="D178" t="s">
        <v>490</v>
      </c>
      <c r="E178" s="17">
        <v>94.736999999999995</v>
      </c>
      <c r="F178">
        <v>19</v>
      </c>
      <c r="G178">
        <v>1</v>
      </c>
      <c r="H178">
        <v>0</v>
      </c>
      <c r="I178">
        <v>1</v>
      </c>
      <c r="J178">
        <v>19</v>
      </c>
      <c r="K178">
        <v>1162</v>
      </c>
      <c r="L178">
        <v>1180</v>
      </c>
      <c r="M178" s="1">
        <v>1.5599999999999999E-7</v>
      </c>
      <c r="N178">
        <v>42.7</v>
      </c>
      <c r="O178" t="s">
        <v>573</v>
      </c>
      <c r="P178" t="s">
        <v>574</v>
      </c>
      <c r="Q178" s="5">
        <v>970419</v>
      </c>
      <c r="R178" s="5">
        <v>1170000</v>
      </c>
      <c r="S178" s="5">
        <v>818854</v>
      </c>
      <c r="T178" s="5">
        <v>0</v>
      </c>
      <c r="U178" s="5">
        <v>0</v>
      </c>
      <c r="V178" s="5">
        <v>169892</v>
      </c>
      <c r="W178" s="5">
        <v>0</v>
      </c>
      <c r="X178" s="5">
        <v>0</v>
      </c>
      <c r="Y178" s="5">
        <v>0</v>
      </c>
      <c r="Z178" s="5">
        <v>11600000</v>
      </c>
      <c r="AA178" s="5">
        <v>14200000</v>
      </c>
      <c r="AB178" s="5">
        <v>12100000</v>
      </c>
      <c r="AC178" s="5">
        <v>19400000</v>
      </c>
      <c r="AD178" s="5">
        <v>15100000</v>
      </c>
      <c r="AE178" s="5">
        <v>15300000</v>
      </c>
      <c r="AF178" s="5">
        <v>11200000</v>
      </c>
      <c r="AG178" s="5">
        <v>15100000</v>
      </c>
      <c r="AH178" s="5">
        <v>12300000</v>
      </c>
      <c r="AI178" s="5" t="s">
        <v>571</v>
      </c>
      <c r="AK178">
        <v>20.293199999999999</v>
      </c>
      <c r="AL178">
        <v>23.369382600000002</v>
      </c>
      <c r="AM178">
        <f t="shared" si="5"/>
        <v>3.0761826000000028</v>
      </c>
      <c r="AN178">
        <v>64.015562496494695</v>
      </c>
      <c r="AO178">
        <v>42.39</v>
      </c>
      <c r="AP178" s="19" t="s">
        <v>572</v>
      </c>
    </row>
    <row r="179" spans="1:42" ht="57.75" customHeight="1">
      <c r="B179">
        <f t="shared" si="4"/>
        <v>1</v>
      </c>
      <c r="C179" s="19" t="s">
        <v>575</v>
      </c>
      <c r="D179" t="s">
        <v>490</v>
      </c>
      <c r="E179" s="17">
        <v>84.210999999999999</v>
      </c>
      <c r="F179">
        <v>19</v>
      </c>
      <c r="G179">
        <v>3</v>
      </c>
      <c r="H179">
        <v>0</v>
      </c>
      <c r="I179">
        <v>2</v>
      </c>
      <c r="J179">
        <v>20</v>
      </c>
      <c r="K179">
        <v>1216</v>
      </c>
      <c r="L179">
        <v>1234</v>
      </c>
      <c r="M179" s="1">
        <v>2.5999999999999998E-5</v>
      </c>
      <c r="N179">
        <v>36.6</v>
      </c>
      <c r="O179" t="s">
        <v>576</v>
      </c>
      <c r="P179" t="s">
        <v>577</v>
      </c>
      <c r="Q179" s="5">
        <v>1700000</v>
      </c>
      <c r="R179" s="5">
        <v>0</v>
      </c>
      <c r="S179" s="5">
        <v>0</v>
      </c>
      <c r="T179" s="5">
        <v>0</v>
      </c>
      <c r="U179" s="5">
        <v>0</v>
      </c>
      <c r="V179" s="5">
        <v>456619</v>
      </c>
      <c r="W179" s="5">
        <v>0</v>
      </c>
      <c r="X179" s="5">
        <v>0</v>
      </c>
      <c r="Y179" s="5">
        <v>0</v>
      </c>
      <c r="Z179" s="5">
        <v>54300000</v>
      </c>
      <c r="AA179" s="5">
        <v>66500000</v>
      </c>
      <c r="AB179" s="5">
        <v>55800000</v>
      </c>
      <c r="AC179" s="5">
        <v>84300000</v>
      </c>
      <c r="AD179" s="5">
        <v>85100000</v>
      </c>
      <c r="AE179" s="5">
        <v>101000000</v>
      </c>
      <c r="AF179" s="5">
        <v>77400000</v>
      </c>
      <c r="AG179" s="5">
        <v>58400000</v>
      </c>
      <c r="AH179" s="5">
        <v>86400000</v>
      </c>
      <c r="AI179" s="5" t="s">
        <v>571</v>
      </c>
      <c r="AK179">
        <v>24.226700000000001</v>
      </c>
      <c r="AL179">
        <v>24.368652399999998</v>
      </c>
      <c r="AM179">
        <f t="shared" si="5"/>
        <v>0.14195239999999743</v>
      </c>
      <c r="AN179">
        <v>54.696944079822302</v>
      </c>
      <c r="AO179">
        <v>43.56</v>
      </c>
      <c r="AP179" s="19" t="s">
        <v>575</v>
      </c>
    </row>
    <row r="180" spans="1:42" ht="57.75" customHeight="1">
      <c r="B180">
        <f t="shared" si="4"/>
        <v>0</v>
      </c>
      <c r="C180" s="19" t="s">
        <v>578</v>
      </c>
      <c r="D180" t="s">
        <v>579</v>
      </c>
      <c r="E180" s="17">
        <v>64.706000000000003</v>
      </c>
      <c r="F180">
        <v>17</v>
      </c>
      <c r="G180">
        <v>6</v>
      </c>
      <c r="H180">
        <v>0</v>
      </c>
      <c r="I180">
        <v>2</v>
      </c>
      <c r="J180">
        <v>18</v>
      </c>
      <c r="K180">
        <v>256</v>
      </c>
      <c r="L180">
        <v>272</v>
      </c>
      <c r="M180">
        <v>2.8000000000000001E-2</v>
      </c>
      <c r="N180">
        <v>28.1</v>
      </c>
      <c r="O180" t="s">
        <v>580</v>
      </c>
      <c r="P180" t="s">
        <v>581</v>
      </c>
      <c r="Q180" s="18">
        <v>1260.3399999999999</v>
      </c>
      <c r="R180" s="18">
        <v>1509.85</v>
      </c>
      <c r="S180" s="18">
        <v>2666.36</v>
      </c>
      <c r="T180" s="18">
        <v>3063.47</v>
      </c>
      <c r="U180" s="18">
        <v>1491.71</v>
      </c>
      <c r="V180" s="18">
        <v>2570.8200000000002</v>
      </c>
      <c r="W180" s="18">
        <v>2686.38</v>
      </c>
      <c r="X180" s="18">
        <v>2531.19</v>
      </c>
      <c r="Y180" s="18">
        <v>3209.08</v>
      </c>
      <c r="Z180" s="18">
        <v>0</v>
      </c>
      <c r="AA180" s="18">
        <v>0</v>
      </c>
      <c r="AB180" s="18">
        <v>0</v>
      </c>
      <c r="AC180" s="18">
        <v>0</v>
      </c>
      <c r="AD180" s="18">
        <v>0</v>
      </c>
      <c r="AE180" s="18">
        <v>0</v>
      </c>
      <c r="AF180" s="18">
        <v>0</v>
      </c>
      <c r="AG180" s="18">
        <v>0</v>
      </c>
      <c r="AH180" s="18">
        <v>0</v>
      </c>
      <c r="AI180" s="18" t="s">
        <v>582</v>
      </c>
      <c r="AK180">
        <v>24.432400000000001</v>
      </c>
      <c r="AL180">
        <v>29.109001266666699</v>
      </c>
      <c r="AM180">
        <f t="shared" si="5"/>
        <v>4.6766012666666974</v>
      </c>
      <c r="AN180">
        <v>23.4541192874056</v>
      </c>
      <c r="AO180">
        <v>3.5333333333333301</v>
      </c>
      <c r="AP180" s="19" t="s">
        <v>578</v>
      </c>
    </row>
    <row r="181" spans="1:42" ht="57.75" customHeight="1">
      <c r="B181">
        <f t="shared" si="4"/>
        <v>1</v>
      </c>
      <c r="C181" s="19" t="s">
        <v>583</v>
      </c>
      <c r="D181" t="s">
        <v>579</v>
      </c>
      <c r="E181" s="17">
        <v>88.888999999999996</v>
      </c>
      <c r="F181">
        <v>9</v>
      </c>
      <c r="G181">
        <v>1</v>
      </c>
      <c r="H181">
        <v>0</v>
      </c>
      <c r="I181">
        <v>1</v>
      </c>
      <c r="J181">
        <v>9</v>
      </c>
      <c r="K181">
        <v>297</v>
      </c>
      <c r="L181">
        <v>305</v>
      </c>
      <c r="M181">
        <v>3.8</v>
      </c>
      <c r="N181">
        <v>21.2</v>
      </c>
      <c r="O181" t="s">
        <v>583</v>
      </c>
      <c r="P181" t="s">
        <v>584</v>
      </c>
      <c r="Q181" s="18">
        <v>258851</v>
      </c>
      <c r="R181" s="18">
        <v>0</v>
      </c>
      <c r="S181" s="18">
        <v>0</v>
      </c>
      <c r="T181" s="18">
        <v>0</v>
      </c>
      <c r="U181" s="18">
        <v>146558</v>
      </c>
      <c r="V181" s="18">
        <v>109422</v>
      </c>
      <c r="W181" s="18">
        <v>216448</v>
      </c>
      <c r="X181" s="18">
        <v>219890</v>
      </c>
      <c r="Y181" s="18">
        <v>222550</v>
      </c>
      <c r="Z181" s="18">
        <v>153427</v>
      </c>
      <c r="AA181" s="18">
        <v>0</v>
      </c>
      <c r="AB181" s="18">
        <v>0</v>
      </c>
      <c r="AC181" s="18">
        <v>0</v>
      </c>
      <c r="AD181" s="18">
        <v>0</v>
      </c>
      <c r="AE181" s="18">
        <v>0</v>
      </c>
      <c r="AF181" s="18">
        <v>0</v>
      </c>
      <c r="AG181" s="18">
        <v>0</v>
      </c>
      <c r="AH181" s="18">
        <v>0</v>
      </c>
      <c r="AI181" s="18" t="s">
        <v>582</v>
      </c>
      <c r="AK181">
        <v>12.6668</v>
      </c>
      <c r="AL181">
        <v>18.771579733333301</v>
      </c>
      <c r="AM181">
        <f t="shared" si="5"/>
        <v>6.1047797333333005</v>
      </c>
      <c r="AN181">
        <v>15.768248026473399</v>
      </c>
      <c r="AO181">
        <v>7.7777777777777696E-2</v>
      </c>
      <c r="AP181" s="19" t="s">
        <v>583</v>
      </c>
    </row>
    <row r="182" spans="1:42" ht="57.75" customHeight="1">
      <c r="B182">
        <f t="shared" si="4"/>
        <v>0</v>
      </c>
      <c r="C182" s="19" t="s">
        <v>585</v>
      </c>
      <c r="D182" t="s">
        <v>116</v>
      </c>
      <c r="E182" s="17">
        <v>85.713999999999999</v>
      </c>
      <c r="F182">
        <v>14</v>
      </c>
      <c r="G182">
        <v>2</v>
      </c>
      <c r="H182">
        <v>0</v>
      </c>
      <c r="I182">
        <v>1</v>
      </c>
      <c r="J182">
        <v>14</v>
      </c>
      <c r="K182">
        <v>308</v>
      </c>
      <c r="L182">
        <v>321</v>
      </c>
      <c r="M182" s="1">
        <v>1.2899999999999999E-4</v>
      </c>
      <c r="N182">
        <v>34.299999999999997</v>
      </c>
      <c r="O182" t="s">
        <v>585</v>
      </c>
      <c r="P182" t="s">
        <v>117</v>
      </c>
      <c r="Q182">
        <v>41162.800000000003</v>
      </c>
      <c r="R182">
        <v>182113</v>
      </c>
      <c r="S182">
        <v>23862.9</v>
      </c>
      <c r="T182">
        <v>130268</v>
      </c>
      <c r="U182">
        <v>126743</v>
      </c>
      <c r="V182">
        <v>89105.4</v>
      </c>
      <c r="W182">
        <v>9367.5</v>
      </c>
      <c r="X182">
        <v>63243.7</v>
      </c>
      <c r="Y182">
        <v>93231.5</v>
      </c>
      <c r="Z182">
        <v>21918.7</v>
      </c>
      <c r="AA182">
        <v>0</v>
      </c>
      <c r="AB182">
        <v>0</v>
      </c>
      <c r="AC182">
        <v>10900.9</v>
      </c>
      <c r="AD182">
        <v>0</v>
      </c>
      <c r="AE182">
        <v>0</v>
      </c>
      <c r="AF182">
        <v>13155.6</v>
      </c>
      <c r="AG182">
        <v>0</v>
      </c>
      <c r="AH182">
        <v>4166.5</v>
      </c>
      <c r="AI182" t="s">
        <v>586</v>
      </c>
      <c r="AK182">
        <v>22.0959</v>
      </c>
      <c r="AL182">
        <v>21.6695341333333</v>
      </c>
      <c r="AM182">
        <f t="shared" si="5"/>
        <v>0.42636586666669984</v>
      </c>
      <c r="AN182">
        <v>19.518641145450701</v>
      </c>
      <c r="AO182">
        <v>4.54285714285714</v>
      </c>
      <c r="AP182" s="19" t="s">
        <v>585</v>
      </c>
    </row>
    <row r="183" spans="1:42" ht="57.75" customHeight="1">
      <c r="B183">
        <f t="shared" si="4"/>
        <v>0</v>
      </c>
      <c r="C183" s="19" t="s">
        <v>587</v>
      </c>
      <c r="D183" t="s">
        <v>132</v>
      </c>
      <c r="E183" s="17">
        <v>86.667000000000002</v>
      </c>
      <c r="F183">
        <v>15</v>
      </c>
      <c r="G183">
        <v>2</v>
      </c>
      <c r="H183">
        <v>0</v>
      </c>
      <c r="I183">
        <v>1</v>
      </c>
      <c r="J183">
        <v>15</v>
      </c>
      <c r="K183">
        <v>58</v>
      </c>
      <c r="L183">
        <v>72</v>
      </c>
      <c r="M183" s="1">
        <v>3.1E-4</v>
      </c>
      <c r="N183">
        <v>33.1</v>
      </c>
      <c r="O183" t="s">
        <v>588</v>
      </c>
      <c r="P183" t="s">
        <v>589</v>
      </c>
      <c r="Q183">
        <v>0</v>
      </c>
      <c r="R183">
        <v>39545.599999999999</v>
      </c>
      <c r="S183">
        <v>58582.5</v>
      </c>
      <c r="T183">
        <v>0</v>
      </c>
      <c r="U183">
        <v>83461.8</v>
      </c>
      <c r="V183">
        <v>0</v>
      </c>
      <c r="W183">
        <v>0</v>
      </c>
      <c r="X183">
        <v>21501.5</v>
      </c>
      <c r="Y183">
        <v>36265.5</v>
      </c>
      <c r="Z183">
        <v>0</v>
      </c>
      <c r="AA183">
        <v>0</v>
      </c>
      <c r="AB183">
        <v>79465.100000000006</v>
      </c>
      <c r="AC183">
        <v>74685.7</v>
      </c>
      <c r="AD183">
        <v>143968</v>
      </c>
      <c r="AE183">
        <v>77832.399999999994</v>
      </c>
      <c r="AF183">
        <v>134144</v>
      </c>
      <c r="AG183">
        <v>88131.8</v>
      </c>
      <c r="AH183">
        <v>42541</v>
      </c>
      <c r="AI183" t="s">
        <v>590</v>
      </c>
      <c r="AK183">
        <v>25.247199999999999</v>
      </c>
      <c r="AL183">
        <v>28.142409733333299</v>
      </c>
      <c r="AM183">
        <f t="shared" si="5"/>
        <v>2.8952097333332993</v>
      </c>
      <c r="AN183">
        <v>29.181630318833999</v>
      </c>
      <c r="AO183">
        <v>16.171875</v>
      </c>
      <c r="AP183" s="19" t="s">
        <v>587</v>
      </c>
    </row>
    <row r="184" spans="1:42" ht="57.75" customHeight="1">
      <c r="B184">
        <f t="shared" si="4"/>
        <v>0</v>
      </c>
      <c r="C184" s="19" t="s">
        <v>591</v>
      </c>
      <c r="D184" t="s">
        <v>490</v>
      </c>
      <c r="E184" s="17">
        <v>95</v>
      </c>
      <c r="F184">
        <v>20</v>
      </c>
      <c r="G184">
        <v>1</v>
      </c>
      <c r="H184">
        <v>0</v>
      </c>
      <c r="I184">
        <v>1</v>
      </c>
      <c r="J184">
        <v>20</v>
      </c>
      <c r="K184">
        <v>832</v>
      </c>
      <c r="L184">
        <v>851</v>
      </c>
      <c r="M184" s="1">
        <v>8.5199999999999995E-8</v>
      </c>
      <c r="N184">
        <v>43.5</v>
      </c>
      <c r="O184" t="s">
        <v>591</v>
      </c>
      <c r="P184" t="s">
        <v>592</v>
      </c>
      <c r="Q184">
        <v>4830000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17100000</v>
      </c>
      <c r="AA184">
        <v>20400000</v>
      </c>
      <c r="AB184">
        <v>19100000</v>
      </c>
      <c r="AC184">
        <v>31600000</v>
      </c>
      <c r="AD184">
        <v>28100000</v>
      </c>
      <c r="AE184">
        <v>32000000</v>
      </c>
      <c r="AF184">
        <v>36100000</v>
      </c>
      <c r="AG184">
        <v>43900000</v>
      </c>
      <c r="AH184">
        <v>28900000</v>
      </c>
      <c r="AI184" t="s">
        <v>593</v>
      </c>
      <c r="AK184">
        <v>21.636500000000002</v>
      </c>
      <c r="AL184">
        <v>23.941950266666701</v>
      </c>
      <c r="AM184">
        <f t="shared" si="5"/>
        <v>2.3054502666666998</v>
      </c>
      <c r="AN184">
        <v>70.376273317286504</v>
      </c>
      <c r="AO184">
        <v>84.375</v>
      </c>
      <c r="AP184" s="19" t="s">
        <v>591</v>
      </c>
    </row>
    <row r="185" spans="1:42" ht="57.75" customHeight="1">
      <c r="B185">
        <f t="shared" si="4"/>
        <v>0</v>
      </c>
      <c r="C185" s="19" t="s">
        <v>594</v>
      </c>
      <c r="D185" t="s">
        <v>595</v>
      </c>
      <c r="E185" s="17">
        <v>92.856999999999999</v>
      </c>
      <c r="F185">
        <v>14</v>
      </c>
      <c r="G185">
        <v>1</v>
      </c>
      <c r="H185">
        <v>0</v>
      </c>
      <c r="I185">
        <v>1</v>
      </c>
      <c r="J185">
        <v>14</v>
      </c>
      <c r="K185">
        <v>104</v>
      </c>
      <c r="L185">
        <v>117</v>
      </c>
      <c r="M185">
        <v>3.0000000000000001E-3</v>
      </c>
      <c r="N185">
        <v>30</v>
      </c>
      <c r="O185" t="s">
        <v>594</v>
      </c>
      <c r="P185" t="s">
        <v>453</v>
      </c>
      <c r="Q185" s="18">
        <v>0</v>
      </c>
      <c r="R185" s="18">
        <v>28625</v>
      </c>
      <c r="S185" s="18">
        <v>25788.3</v>
      </c>
      <c r="T185" s="18">
        <v>26464.400000000001</v>
      </c>
      <c r="U185" s="18">
        <v>43779</v>
      </c>
      <c r="V185" s="18">
        <v>23554.5</v>
      </c>
      <c r="W185" s="18">
        <v>19590.400000000001</v>
      </c>
      <c r="X185" s="18">
        <v>15897.7</v>
      </c>
      <c r="Y185" s="18">
        <v>15846.3</v>
      </c>
      <c r="Z185" s="18">
        <v>48117.8</v>
      </c>
      <c r="AA185" s="18">
        <v>39025.699999999997</v>
      </c>
      <c r="AB185" s="18">
        <v>35880.5</v>
      </c>
      <c r="AC185" s="18">
        <v>54897.7</v>
      </c>
      <c r="AD185" s="18">
        <v>117577</v>
      </c>
      <c r="AE185" s="18">
        <v>69203.899999999994</v>
      </c>
      <c r="AF185" s="18">
        <v>83159.7</v>
      </c>
      <c r="AG185" s="18">
        <v>87533.8</v>
      </c>
      <c r="AH185" s="18">
        <v>52870.3</v>
      </c>
      <c r="AI185" s="18" t="s">
        <v>596</v>
      </c>
      <c r="AK185">
        <v>13.836499999999999</v>
      </c>
      <c r="AL185">
        <v>23.485891200000001</v>
      </c>
      <c r="AM185">
        <f t="shared" si="5"/>
        <v>9.6493912000000019</v>
      </c>
      <c r="AN185">
        <v>22.0818969552837</v>
      </c>
      <c r="AO185">
        <v>6.1714285714285699</v>
      </c>
      <c r="AP185" s="19" t="s">
        <v>594</v>
      </c>
    </row>
    <row r="186" spans="1:42" ht="57.75" customHeight="1">
      <c r="B186">
        <f t="shared" si="4"/>
        <v>1</v>
      </c>
      <c r="C186" s="19" t="s">
        <v>597</v>
      </c>
      <c r="D186" t="s">
        <v>452</v>
      </c>
      <c r="E186" s="17">
        <v>68</v>
      </c>
      <c r="F186">
        <v>25</v>
      </c>
      <c r="G186">
        <v>8</v>
      </c>
      <c r="H186">
        <v>0</v>
      </c>
      <c r="I186">
        <v>1</v>
      </c>
      <c r="J186">
        <v>25</v>
      </c>
      <c r="K186">
        <v>58</v>
      </c>
      <c r="L186">
        <v>82</v>
      </c>
      <c r="M186" s="1">
        <v>9.8700000000000004E-7</v>
      </c>
      <c r="N186">
        <v>40</v>
      </c>
      <c r="O186" t="s">
        <v>597</v>
      </c>
      <c r="P186" t="s">
        <v>598</v>
      </c>
      <c r="Q186" s="18">
        <v>0</v>
      </c>
      <c r="R186" s="18">
        <v>60541.599999999999</v>
      </c>
      <c r="S186" s="18">
        <v>94418.6</v>
      </c>
      <c r="T186" s="18">
        <v>78406.8</v>
      </c>
      <c r="U186" s="18">
        <v>88702.1</v>
      </c>
      <c r="V186" s="18">
        <v>58588.6</v>
      </c>
      <c r="W186" s="18">
        <v>113578</v>
      </c>
      <c r="X186" s="18">
        <v>0</v>
      </c>
      <c r="Y186" s="18">
        <v>41583.9</v>
      </c>
      <c r="Z186" s="18">
        <v>111119</v>
      </c>
      <c r="AA186" s="18">
        <v>111932</v>
      </c>
      <c r="AB186" s="18">
        <v>205344</v>
      </c>
      <c r="AC186" s="18">
        <v>205699</v>
      </c>
      <c r="AD186" s="18">
        <v>296756</v>
      </c>
      <c r="AE186" s="18">
        <v>218460</v>
      </c>
      <c r="AF186" s="18">
        <v>323330</v>
      </c>
      <c r="AG186" s="18">
        <v>299583</v>
      </c>
      <c r="AH186" s="18">
        <v>222205</v>
      </c>
      <c r="AI186" s="18" t="s">
        <v>596</v>
      </c>
      <c r="AK186">
        <v>23.692699999999999</v>
      </c>
      <c r="AL186">
        <v>25.951478066666699</v>
      </c>
      <c r="AM186">
        <f t="shared" si="5"/>
        <v>2.2587780666667001</v>
      </c>
      <c r="AN186">
        <v>40.052561448591199</v>
      </c>
      <c r="AO186">
        <v>7.3440000000000003</v>
      </c>
      <c r="AP186" s="19" t="s">
        <v>597</v>
      </c>
    </row>
    <row r="187" spans="1:42" ht="57.75" customHeight="1">
      <c r="B187">
        <f t="shared" si="4"/>
        <v>0</v>
      </c>
      <c r="C187" s="19" t="s">
        <v>599</v>
      </c>
      <c r="D187" t="s">
        <v>600</v>
      </c>
      <c r="E187" s="17">
        <v>81.817999999999998</v>
      </c>
      <c r="F187">
        <v>11</v>
      </c>
      <c r="G187">
        <v>2</v>
      </c>
      <c r="H187">
        <v>0</v>
      </c>
      <c r="I187">
        <v>1</v>
      </c>
      <c r="J187">
        <v>11</v>
      </c>
      <c r="K187">
        <v>96</v>
      </c>
      <c r="L187">
        <v>106</v>
      </c>
      <c r="M187">
        <v>1.2</v>
      </c>
      <c r="N187">
        <v>22.7</v>
      </c>
      <c r="O187" t="s">
        <v>599</v>
      </c>
      <c r="P187" t="s">
        <v>601</v>
      </c>
      <c r="Q187" s="6">
        <v>349162</v>
      </c>
      <c r="R187" s="6">
        <v>310527</v>
      </c>
      <c r="S187" s="6">
        <v>488923</v>
      </c>
      <c r="T187" s="6">
        <v>495115</v>
      </c>
      <c r="U187" s="6">
        <v>611913</v>
      </c>
      <c r="V187" s="6">
        <v>363891</v>
      </c>
      <c r="W187" s="6">
        <v>352465</v>
      </c>
      <c r="X187" s="6">
        <v>539543</v>
      </c>
      <c r="Y187" s="6">
        <v>393888</v>
      </c>
      <c r="Z187" s="6">
        <v>507222</v>
      </c>
      <c r="AA187" s="6">
        <v>764277</v>
      </c>
      <c r="AB187" s="6">
        <v>851337</v>
      </c>
      <c r="AC187" s="6">
        <v>804355</v>
      </c>
      <c r="AD187" s="6">
        <v>1810000</v>
      </c>
      <c r="AE187" s="6">
        <v>1060000</v>
      </c>
      <c r="AF187" s="6">
        <v>1570000</v>
      </c>
      <c r="AG187" s="6">
        <v>1300000</v>
      </c>
      <c r="AH187" s="6">
        <v>1150000</v>
      </c>
      <c r="AI187" s="6" t="s">
        <v>602</v>
      </c>
      <c r="AK187">
        <v>24.111599999999999</v>
      </c>
      <c r="AL187">
        <v>24.223348533333301</v>
      </c>
      <c r="AM187">
        <f t="shared" si="5"/>
        <v>0.11174853333330148</v>
      </c>
      <c r="AN187">
        <v>27.501482169608501</v>
      </c>
      <c r="AO187">
        <v>26.4545454545454</v>
      </c>
      <c r="AP187" s="19" t="s">
        <v>599</v>
      </c>
    </row>
    <row r="188" spans="1:42" ht="57.75" customHeight="1">
      <c r="B188">
        <f t="shared" si="4"/>
        <v>1</v>
      </c>
      <c r="C188" s="19" t="s">
        <v>603</v>
      </c>
      <c r="D188" t="s">
        <v>604</v>
      </c>
      <c r="E188" s="17">
        <v>89.474000000000004</v>
      </c>
      <c r="F188">
        <v>19</v>
      </c>
      <c r="G188">
        <v>2</v>
      </c>
      <c r="H188">
        <v>0</v>
      </c>
      <c r="I188">
        <v>1</v>
      </c>
      <c r="J188">
        <v>19</v>
      </c>
      <c r="K188">
        <v>20</v>
      </c>
      <c r="L188">
        <v>38</v>
      </c>
      <c r="M188" s="1">
        <v>1.11E-6</v>
      </c>
      <c r="N188">
        <v>39.299999999999997</v>
      </c>
      <c r="O188" t="s">
        <v>603</v>
      </c>
      <c r="P188" t="s">
        <v>605</v>
      </c>
      <c r="Q188" s="6">
        <v>0</v>
      </c>
      <c r="R188" s="6">
        <v>425135</v>
      </c>
      <c r="S188" s="6">
        <v>0</v>
      </c>
      <c r="T188" s="6">
        <v>338535</v>
      </c>
      <c r="U188" s="6">
        <v>298311</v>
      </c>
      <c r="V188" s="6">
        <v>179050</v>
      </c>
      <c r="W188" s="6">
        <v>310659</v>
      </c>
      <c r="X188" s="6">
        <v>223111</v>
      </c>
      <c r="Y188" s="6">
        <v>293940</v>
      </c>
      <c r="Z188" s="6">
        <v>790527</v>
      </c>
      <c r="AA188" s="6">
        <v>0</v>
      </c>
      <c r="AB188" s="6">
        <v>0</v>
      </c>
      <c r="AC188" s="6">
        <v>632654</v>
      </c>
      <c r="AD188" s="6">
        <v>651938</v>
      </c>
      <c r="AE188" s="6">
        <v>1010000</v>
      </c>
      <c r="AF188" s="6">
        <v>833859</v>
      </c>
      <c r="AG188" s="6">
        <v>0</v>
      </c>
      <c r="AH188" s="6">
        <v>578541</v>
      </c>
      <c r="AI188" s="6" t="s">
        <v>602</v>
      </c>
      <c r="AK188">
        <v>24.2546</v>
      </c>
      <c r="AL188">
        <v>20.7975766666667</v>
      </c>
      <c r="AM188">
        <f t="shared" si="5"/>
        <v>3.4570233333333</v>
      </c>
      <c r="AN188">
        <v>28.9832454636691</v>
      </c>
      <c r="AO188">
        <v>16.342105263157801</v>
      </c>
      <c r="AP188" s="19" t="s">
        <v>603</v>
      </c>
    </row>
    <row r="189" spans="1:42" ht="57.75" customHeight="1">
      <c r="B189">
        <f t="shared" si="4"/>
        <v>0</v>
      </c>
      <c r="C189" s="19" t="s">
        <v>606</v>
      </c>
      <c r="D189" t="s">
        <v>70</v>
      </c>
      <c r="E189" s="17">
        <v>75</v>
      </c>
      <c r="F189">
        <v>20</v>
      </c>
      <c r="G189">
        <v>5</v>
      </c>
      <c r="H189">
        <v>0</v>
      </c>
      <c r="I189">
        <v>1</v>
      </c>
      <c r="J189">
        <v>20</v>
      </c>
      <c r="K189">
        <v>63</v>
      </c>
      <c r="L189">
        <v>82</v>
      </c>
      <c r="M189" s="1">
        <v>3.8099999999999999E-6</v>
      </c>
      <c r="N189">
        <v>38.1</v>
      </c>
      <c r="O189" t="s">
        <v>606</v>
      </c>
      <c r="P189" t="s">
        <v>607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314166</v>
      </c>
      <c r="AG189">
        <v>0</v>
      </c>
      <c r="AH189">
        <v>193899</v>
      </c>
      <c r="AI189" t="s">
        <v>608</v>
      </c>
      <c r="AK189">
        <v>24.185700000000001</v>
      </c>
      <c r="AL189">
        <v>27.317230933333299</v>
      </c>
      <c r="AM189">
        <f t="shared" si="5"/>
        <v>3.1315309333332983</v>
      </c>
      <c r="AN189">
        <v>32.196963410273298</v>
      </c>
      <c r="AO189">
        <v>4.8600000000000003</v>
      </c>
      <c r="AP189" s="19" t="s">
        <v>606</v>
      </c>
    </row>
    <row r="190" spans="1:42" ht="57.75" customHeight="1">
      <c r="B190">
        <f t="shared" si="4"/>
        <v>0</v>
      </c>
      <c r="C190" s="19" t="s">
        <v>609</v>
      </c>
      <c r="D190" t="s">
        <v>153</v>
      </c>
      <c r="E190" s="17">
        <v>58.823999999999998</v>
      </c>
      <c r="F190">
        <v>17</v>
      </c>
      <c r="G190">
        <v>6</v>
      </c>
      <c r="H190">
        <v>1</v>
      </c>
      <c r="I190">
        <v>3</v>
      </c>
      <c r="J190">
        <v>18</v>
      </c>
      <c r="K190">
        <v>12</v>
      </c>
      <c r="L190">
        <v>28</v>
      </c>
      <c r="M190">
        <v>6.9</v>
      </c>
      <c r="N190">
        <v>21.2</v>
      </c>
      <c r="O190" t="s">
        <v>610</v>
      </c>
      <c r="P190" t="s">
        <v>611</v>
      </c>
      <c r="Q190" s="6">
        <v>0</v>
      </c>
      <c r="R190" s="6">
        <v>0</v>
      </c>
      <c r="S190" s="6">
        <v>0</v>
      </c>
      <c r="T190" s="6">
        <v>3271.37</v>
      </c>
      <c r="U190" s="6">
        <v>0</v>
      </c>
      <c r="V190" s="6">
        <v>3274.26</v>
      </c>
      <c r="W190" s="6">
        <v>0</v>
      </c>
      <c r="X190" s="6">
        <v>81177.7</v>
      </c>
      <c r="Y190" s="6">
        <v>3040.26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2537.2600000000002</v>
      </c>
      <c r="AF190" s="6">
        <v>0</v>
      </c>
      <c r="AG190" s="6">
        <v>0</v>
      </c>
      <c r="AH190" s="6">
        <v>6162.62</v>
      </c>
      <c r="AI190" s="6" t="s">
        <v>612</v>
      </c>
      <c r="AK190">
        <v>10.5952</v>
      </c>
      <c r="AL190">
        <v>20.6727207333333</v>
      </c>
      <c r="AM190">
        <f t="shared" si="5"/>
        <v>10.0775207333333</v>
      </c>
      <c r="AN190">
        <v>25.8177309679504</v>
      </c>
      <c r="AO190">
        <v>6.4</v>
      </c>
      <c r="AP190" s="10" t="s">
        <v>609</v>
      </c>
    </row>
    <row r="191" spans="1:42" ht="57.75" customHeight="1">
      <c r="B191">
        <f t="shared" si="4"/>
        <v>1</v>
      </c>
      <c r="C191" s="19" t="s">
        <v>613</v>
      </c>
      <c r="D191" t="s">
        <v>153</v>
      </c>
      <c r="E191" s="17">
        <v>86.667000000000002</v>
      </c>
      <c r="F191">
        <v>15</v>
      </c>
      <c r="G191">
        <v>2</v>
      </c>
      <c r="H191">
        <v>0</v>
      </c>
      <c r="I191">
        <v>1</v>
      </c>
      <c r="J191">
        <v>15</v>
      </c>
      <c r="K191">
        <v>67</v>
      </c>
      <c r="L191">
        <v>81</v>
      </c>
      <c r="M191">
        <v>2E-3</v>
      </c>
      <c r="N191">
        <v>30.8</v>
      </c>
      <c r="O191" t="s">
        <v>613</v>
      </c>
      <c r="P191" t="s">
        <v>614</v>
      </c>
      <c r="Q191" s="6">
        <v>0</v>
      </c>
      <c r="R191" s="6">
        <v>11955.5</v>
      </c>
      <c r="S191" s="6">
        <v>4260.1499999999996</v>
      </c>
      <c r="T191" s="6">
        <v>0</v>
      </c>
      <c r="U191" s="6">
        <v>2141.58</v>
      </c>
      <c r="V191" s="6">
        <v>0</v>
      </c>
      <c r="W191" s="6">
        <v>2938.41</v>
      </c>
      <c r="X191" s="6">
        <v>1179.17</v>
      </c>
      <c r="Y191" s="6">
        <v>2068.1799999999998</v>
      </c>
      <c r="Z191" s="6">
        <v>0</v>
      </c>
      <c r="AA191" s="6">
        <v>0</v>
      </c>
      <c r="AB191" s="6">
        <v>0</v>
      </c>
      <c r="AC191" s="6">
        <v>0</v>
      </c>
      <c r="AD191" s="6">
        <v>4667.82</v>
      </c>
      <c r="AE191" s="6">
        <v>0</v>
      </c>
      <c r="AF191" s="6">
        <v>0</v>
      </c>
      <c r="AG191" s="6">
        <v>2579.9899999999998</v>
      </c>
      <c r="AH191" s="6">
        <v>3768.94</v>
      </c>
      <c r="AI191" s="6" t="s">
        <v>612</v>
      </c>
      <c r="AK191">
        <v>26.921500000000002</v>
      </c>
      <c r="AL191">
        <v>27.4176990666666</v>
      </c>
      <c r="AM191">
        <f t="shared" si="5"/>
        <v>0.4961990666665983</v>
      </c>
      <c r="AN191">
        <v>15.7822608973624</v>
      </c>
      <c r="AO191">
        <v>12.7</v>
      </c>
      <c r="AP191" s="19" t="s">
        <v>613</v>
      </c>
    </row>
    <row r="192" spans="1:42" ht="57.75" customHeight="1">
      <c r="A192">
        <v>1</v>
      </c>
      <c r="B192">
        <f t="shared" si="4"/>
        <v>1</v>
      </c>
      <c r="C192" s="19" t="s">
        <v>615</v>
      </c>
      <c r="D192" t="s">
        <v>153</v>
      </c>
      <c r="E192" s="17">
        <v>80.951999999999998</v>
      </c>
      <c r="F192">
        <v>21</v>
      </c>
      <c r="G192">
        <v>4</v>
      </c>
      <c r="H192">
        <v>0</v>
      </c>
      <c r="I192">
        <v>1</v>
      </c>
      <c r="J192">
        <v>21</v>
      </c>
      <c r="K192">
        <v>61</v>
      </c>
      <c r="L192">
        <v>81</v>
      </c>
      <c r="M192" s="1">
        <v>8.5499999999999995E-6</v>
      </c>
      <c r="N192">
        <v>38.1</v>
      </c>
      <c r="O192" t="s">
        <v>615</v>
      </c>
      <c r="P192" t="s">
        <v>616</v>
      </c>
      <c r="Q192" s="6">
        <v>0</v>
      </c>
      <c r="R192" s="6">
        <v>0</v>
      </c>
      <c r="S192" s="6">
        <v>0</v>
      </c>
      <c r="T192" s="6">
        <v>95850.8</v>
      </c>
      <c r="U192" s="6">
        <v>0</v>
      </c>
      <c r="V192" s="6">
        <v>86263.1</v>
      </c>
      <c r="W192" s="6">
        <v>130499</v>
      </c>
      <c r="X192" s="6">
        <v>0</v>
      </c>
      <c r="Y192" s="6">
        <v>0</v>
      </c>
      <c r="Z192" s="6">
        <v>148946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160188</v>
      </c>
      <c r="AH192" s="6">
        <v>0</v>
      </c>
      <c r="AI192" s="6" t="s">
        <v>612</v>
      </c>
      <c r="AK192">
        <v>28.642900000000001</v>
      </c>
      <c r="AL192">
        <v>29.245907800000001</v>
      </c>
      <c r="AM192">
        <f t="shared" si="5"/>
        <v>0.60300780000000032</v>
      </c>
      <c r="AN192">
        <v>30.2940090302736</v>
      </c>
      <c r="AO192">
        <v>17.678571428571399</v>
      </c>
      <c r="AP192" s="19" t="s">
        <v>615</v>
      </c>
    </row>
    <row r="193" spans="1:42" ht="57.75" customHeight="1">
      <c r="B193">
        <f t="shared" si="4"/>
        <v>0</v>
      </c>
      <c r="C193" s="19" t="s">
        <v>617</v>
      </c>
      <c r="D193" t="s">
        <v>618</v>
      </c>
      <c r="E193" s="17">
        <v>92.856999999999999</v>
      </c>
      <c r="F193">
        <v>14</v>
      </c>
      <c r="G193">
        <v>1</v>
      </c>
      <c r="H193">
        <v>0</v>
      </c>
      <c r="I193">
        <v>1</v>
      </c>
      <c r="J193">
        <v>14</v>
      </c>
      <c r="K193">
        <v>150</v>
      </c>
      <c r="L193">
        <v>163</v>
      </c>
      <c r="M193">
        <v>4.0000000000000001E-3</v>
      </c>
      <c r="N193">
        <v>30</v>
      </c>
      <c r="O193" t="s">
        <v>617</v>
      </c>
      <c r="P193" t="s">
        <v>619</v>
      </c>
      <c r="Q193">
        <v>4060000</v>
      </c>
      <c r="R193">
        <v>0</v>
      </c>
      <c r="S193">
        <v>3830000</v>
      </c>
      <c r="T193">
        <v>3140000</v>
      </c>
      <c r="U193">
        <v>2500000</v>
      </c>
      <c r="V193">
        <v>0</v>
      </c>
      <c r="W193">
        <v>2410000</v>
      </c>
      <c r="X193">
        <v>1940000</v>
      </c>
      <c r="Y193">
        <v>2260000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620</v>
      </c>
      <c r="AK193">
        <v>9.1542100000000008</v>
      </c>
      <c r="AL193">
        <v>29.108941600000001</v>
      </c>
      <c r="AM193">
        <f t="shared" si="5"/>
        <v>19.954731600000002</v>
      </c>
      <c r="AN193">
        <v>21.796039180115098</v>
      </c>
      <c r="AO193">
        <v>5.8571428571428497</v>
      </c>
      <c r="AP193" s="19" t="s">
        <v>617</v>
      </c>
    </row>
    <row r="194" spans="1:42" ht="57.75" customHeight="1">
      <c r="B194">
        <f t="shared" si="4"/>
        <v>0</v>
      </c>
      <c r="C194" s="19" t="s">
        <v>621</v>
      </c>
      <c r="D194" t="s">
        <v>405</v>
      </c>
      <c r="E194" s="17">
        <v>66.667000000000002</v>
      </c>
      <c r="F194">
        <v>15</v>
      </c>
      <c r="G194">
        <v>5</v>
      </c>
      <c r="H194">
        <v>0</v>
      </c>
      <c r="I194">
        <v>1</v>
      </c>
      <c r="J194">
        <v>15</v>
      </c>
      <c r="K194">
        <v>45</v>
      </c>
      <c r="L194">
        <v>59</v>
      </c>
      <c r="M194">
        <v>3.4000000000000002E-2</v>
      </c>
      <c r="N194">
        <v>27.3</v>
      </c>
      <c r="O194" t="s">
        <v>621</v>
      </c>
      <c r="P194" t="s">
        <v>622</v>
      </c>
      <c r="Q194">
        <v>0</v>
      </c>
      <c r="R194">
        <v>0</v>
      </c>
      <c r="S194">
        <v>477764</v>
      </c>
      <c r="T194">
        <v>79176.5</v>
      </c>
      <c r="U194">
        <v>144506</v>
      </c>
      <c r="V194">
        <v>0</v>
      </c>
      <c r="W194">
        <v>0</v>
      </c>
      <c r="X194">
        <v>0</v>
      </c>
      <c r="Y194">
        <v>255667</v>
      </c>
      <c r="Z194">
        <v>0</v>
      </c>
      <c r="AA194">
        <v>207023</v>
      </c>
      <c r="AB194">
        <v>0</v>
      </c>
      <c r="AC194">
        <v>137790</v>
      </c>
      <c r="AD194">
        <v>290944</v>
      </c>
      <c r="AE194">
        <v>0</v>
      </c>
      <c r="AF194">
        <v>168327</v>
      </c>
      <c r="AG194">
        <v>4634.6899999999996</v>
      </c>
      <c r="AH194">
        <v>0</v>
      </c>
      <c r="AI194" t="s">
        <v>623</v>
      </c>
      <c r="AK194">
        <v>15.210599999999999</v>
      </c>
      <c r="AL194">
        <v>17.294893200000001</v>
      </c>
      <c r="AM194">
        <f t="shared" si="5"/>
        <v>2.0842932000000012</v>
      </c>
      <c r="AN194">
        <v>18.665726425045399</v>
      </c>
      <c r="AO194">
        <v>6</v>
      </c>
      <c r="AP194" s="19" t="s">
        <v>621</v>
      </c>
    </row>
    <row r="195" spans="1:42" ht="57.75" customHeight="1">
      <c r="B195">
        <f t="shared" si="4"/>
        <v>0</v>
      </c>
      <c r="C195" s="19" t="s">
        <v>624</v>
      </c>
      <c r="D195" t="s">
        <v>423</v>
      </c>
      <c r="E195" s="17">
        <v>96.552000000000007</v>
      </c>
      <c r="F195">
        <v>29</v>
      </c>
      <c r="G195">
        <v>1</v>
      </c>
      <c r="H195">
        <v>0</v>
      </c>
      <c r="I195">
        <v>1</v>
      </c>
      <c r="J195">
        <v>29</v>
      </c>
      <c r="K195">
        <v>63</v>
      </c>
      <c r="L195">
        <v>91</v>
      </c>
      <c r="M195" s="1">
        <v>8.3400000000000004E-12</v>
      </c>
      <c r="N195">
        <v>53.9</v>
      </c>
      <c r="O195" t="s">
        <v>624</v>
      </c>
      <c r="P195" t="s">
        <v>625</v>
      </c>
      <c r="Q195">
        <v>2800000</v>
      </c>
      <c r="R195">
        <v>2540000</v>
      </c>
      <c r="S195">
        <v>1970000</v>
      </c>
      <c r="T195">
        <v>4170000</v>
      </c>
      <c r="U195">
        <v>3970000</v>
      </c>
      <c r="V195">
        <v>3980000</v>
      </c>
      <c r="W195">
        <v>4150000</v>
      </c>
      <c r="X195">
        <v>4620000</v>
      </c>
      <c r="Y195">
        <v>3270000</v>
      </c>
      <c r="Z195">
        <v>6220000</v>
      </c>
      <c r="AA195">
        <v>6690000</v>
      </c>
      <c r="AB195">
        <v>5490000</v>
      </c>
      <c r="AC195">
        <v>12300000</v>
      </c>
      <c r="AD195">
        <v>12000000</v>
      </c>
      <c r="AE195">
        <v>7820000</v>
      </c>
      <c r="AF195">
        <v>7870000</v>
      </c>
      <c r="AG195">
        <v>8910000</v>
      </c>
      <c r="AH195">
        <v>8360000</v>
      </c>
      <c r="AI195" t="s">
        <v>626</v>
      </c>
      <c r="AK195">
        <v>27.988499999999998</v>
      </c>
      <c r="AL195">
        <v>27.992904266666699</v>
      </c>
      <c r="AM195">
        <f t="shared" si="5"/>
        <v>4.4042666667003516E-3</v>
      </c>
      <c r="AN195">
        <v>117.680374563901</v>
      </c>
      <c r="AO195">
        <v>120.75517241379301</v>
      </c>
      <c r="AP195" s="19" t="s">
        <v>624</v>
      </c>
    </row>
    <row r="196" spans="1:42" ht="57.75" customHeight="1">
      <c r="B196">
        <f t="shared" si="4"/>
        <v>0</v>
      </c>
      <c r="C196" s="19" t="s">
        <v>627</v>
      </c>
      <c r="D196" t="s">
        <v>628</v>
      </c>
      <c r="E196" s="17">
        <v>88.888999999999996</v>
      </c>
      <c r="F196">
        <v>9</v>
      </c>
      <c r="G196">
        <v>1</v>
      </c>
      <c r="H196">
        <v>0</v>
      </c>
      <c r="I196">
        <v>1</v>
      </c>
      <c r="J196">
        <v>9</v>
      </c>
      <c r="K196">
        <v>50</v>
      </c>
      <c r="L196">
        <v>58</v>
      </c>
      <c r="M196">
        <v>9.4</v>
      </c>
      <c r="N196">
        <v>20</v>
      </c>
      <c r="O196" t="s">
        <v>627</v>
      </c>
      <c r="P196" t="s">
        <v>629</v>
      </c>
      <c r="Q196">
        <v>1180000</v>
      </c>
      <c r="R196">
        <v>1750000</v>
      </c>
      <c r="S196">
        <v>986508</v>
      </c>
      <c r="T196">
        <v>451956</v>
      </c>
      <c r="U196">
        <v>504960</v>
      </c>
      <c r="V196">
        <v>2400000</v>
      </c>
      <c r="W196">
        <v>574646</v>
      </c>
      <c r="X196">
        <v>299339</v>
      </c>
      <c r="Y196">
        <v>148207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 t="s">
        <v>630</v>
      </c>
      <c r="AK196">
        <v>14.4947</v>
      </c>
      <c r="AL196">
        <v>14.4683359333333</v>
      </c>
      <c r="AM196">
        <f t="shared" si="5"/>
        <v>2.636406666669977E-2</v>
      </c>
      <c r="AN196">
        <v>18.2452328736811</v>
      </c>
      <c r="AO196">
        <v>12.6666666666666</v>
      </c>
      <c r="AP196" s="19" t="s">
        <v>627</v>
      </c>
    </row>
    <row r="197" spans="1:42" ht="57.75" customHeight="1">
      <c r="B197">
        <f t="shared" si="4"/>
        <v>0</v>
      </c>
      <c r="C197" s="19" t="s">
        <v>631</v>
      </c>
      <c r="D197" t="s">
        <v>278</v>
      </c>
      <c r="E197" s="17">
        <v>93.332999999999998</v>
      </c>
      <c r="F197">
        <v>15</v>
      </c>
      <c r="G197">
        <v>1</v>
      </c>
      <c r="H197">
        <v>0</v>
      </c>
      <c r="I197">
        <v>1</v>
      </c>
      <c r="J197">
        <v>15</v>
      </c>
      <c r="K197">
        <v>66</v>
      </c>
      <c r="L197">
        <v>80</v>
      </c>
      <c r="M197">
        <v>1E-3</v>
      </c>
      <c r="N197">
        <v>31.6</v>
      </c>
      <c r="O197" t="s">
        <v>631</v>
      </c>
      <c r="P197" t="s">
        <v>279</v>
      </c>
      <c r="Q197">
        <v>0</v>
      </c>
      <c r="R197">
        <v>0</v>
      </c>
      <c r="S197">
        <v>0</v>
      </c>
      <c r="T197">
        <v>0</v>
      </c>
      <c r="U197">
        <v>3744.07</v>
      </c>
      <c r="V197">
        <v>0</v>
      </c>
      <c r="W197">
        <v>0</v>
      </c>
      <c r="X197">
        <v>1302.81</v>
      </c>
      <c r="Y197">
        <v>0</v>
      </c>
      <c r="Z197">
        <v>9527.5400000000009</v>
      </c>
      <c r="AA197">
        <v>7891.52</v>
      </c>
      <c r="AB197">
        <v>4648.3</v>
      </c>
      <c r="AC197">
        <v>3524.35</v>
      </c>
      <c r="AD197">
        <v>213758</v>
      </c>
      <c r="AE197">
        <v>0</v>
      </c>
      <c r="AF197">
        <v>4950.1000000000004</v>
      </c>
      <c r="AG197">
        <v>0</v>
      </c>
      <c r="AH197">
        <v>5773.7</v>
      </c>
      <c r="AI197" t="s">
        <v>632</v>
      </c>
      <c r="AK197">
        <v>16.552499999999998</v>
      </c>
      <c r="AL197">
        <v>29.748954333333302</v>
      </c>
      <c r="AM197">
        <f t="shared" si="5"/>
        <v>13.196454333333303</v>
      </c>
      <c r="AN197">
        <v>24.338095696730701</v>
      </c>
      <c r="AO197">
        <v>13.65</v>
      </c>
      <c r="AP197" s="19" t="s">
        <v>631</v>
      </c>
    </row>
    <row r="198" spans="1:42" ht="57.75" customHeight="1">
      <c r="B198">
        <f t="shared" si="4"/>
        <v>0</v>
      </c>
      <c r="C198" s="19" t="s">
        <v>633</v>
      </c>
      <c r="D198" t="s">
        <v>634</v>
      </c>
      <c r="E198" s="17">
        <v>88.888999999999996</v>
      </c>
      <c r="F198">
        <v>9</v>
      </c>
      <c r="G198">
        <v>1</v>
      </c>
      <c r="H198">
        <v>0</v>
      </c>
      <c r="I198">
        <v>1</v>
      </c>
      <c r="J198">
        <v>9</v>
      </c>
      <c r="K198">
        <v>44</v>
      </c>
      <c r="L198">
        <v>52</v>
      </c>
      <c r="M198">
        <v>4.5999999999999996</v>
      </c>
      <c r="N198">
        <v>21.2</v>
      </c>
      <c r="O198" t="s">
        <v>633</v>
      </c>
      <c r="P198" t="s">
        <v>635</v>
      </c>
      <c r="Q198" s="6">
        <v>0</v>
      </c>
      <c r="R198" s="6">
        <v>0</v>
      </c>
      <c r="S198" s="6">
        <v>3170000</v>
      </c>
      <c r="T198" s="6">
        <v>6170000</v>
      </c>
      <c r="U198" s="6">
        <v>6840000</v>
      </c>
      <c r="V198" s="6">
        <v>3480000</v>
      </c>
      <c r="W198" s="6">
        <v>5450000</v>
      </c>
      <c r="X198" s="6">
        <v>6350000</v>
      </c>
      <c r="Y198" s="6">
        <v>5820000</v>
      </c>
      <c r="Z198" s="6">
        <v>7700000</v>
      </c>
      <c r="AA198" s="6">
        <v>3170000</v>
      </c>
      <c r="AB198" s="6">
        <v>4810000</v>
      </c>
      <c r="AC198" s="6">
        <v>7360000</v>
      </c>
      <c r="AD198" s="6">
        <v>8980000</v>
      </c>
      <c r="AE198" s="6">
        <v>7280000</v>
      </c>
      <c r="AF198" s="6">
        <v>9070000</v>
      </c>
      <c r="AG198" s="6">
        <v>8030000</v>
      </c>
      <c r="AH198" s="6">
        <v>9910000</v>
      </c>
      <c r="AI198" s="6" t="s">
        <v>636</v>
      </c>
      <c r="AK198">
        <v>20.8203</v>
      </c>
      <c r="AL198">
        <v>20.8752964</v>
      </c>
      <c r="AM198">
        <f t="shared" si="5"/>
        <v>5.4996400000000278E-2</v>
      </c>
      <c r="AN198">
        <v>16.1468418637347</v>
      </c>
      <c r="AO198">
        <v>0.76111111111111096</v>
      </c>
      <c r="AP198" s="19" t="s">
        <v>633</v>
      </c>
    </row>
    <row r="199" spans="1:42" ht="57.75" customHeight="1">
      <c r="B199">
        <f t="shared" si="4"/>
        <v>1</v>
      </c>
      <c r="C199" s="19" t="s">
        <v>637</v>
      </c>
      <c r="D199" t="s">
        <v>638</v>
      </c>
      <c r="E199" s="17">
        <v>92.308000000000007</v>
      </c>
      <c r="F199">
        <v>13</v>
      </c>
      <c r="G199">
        <v>1</v>
      </c>
      <c r="H199">
        <v>0</v>
      </c>
      <c r="I199">
        <v>1</v>
      </c>
      <c r="J199">
        <v>13</v>
      </c>
      <c r="K199">
        <v>55</v>
      </c>
      <c r="L199">
        <v>67</v>
      </c>
      <c r="M199">
        <v>1.4999999999999999E-2</v>
      </c>
      <c r="N199">
        <v>28.1</v>
      </c>
      <c r="O199" t="s">
        <v>637</v>
      </c>
      <c r="P199" t="s">
        <v>639</v>
      </c>
      <c r="Q199" s="6">
        <v>0</v>
      </c>
      <c r="R199" s="6">
        <v>12420.8</v>
      </c>
      <c r="S199" s="6">
        <v>0</v>
      </c>
      <c r="T199" s="6">
        <v>9975.7000000000007</v>
      </c>
      <c r="U199" s="6">
        <v>8673.3799999999992</v>
      </c>
      <c r="V199" s="6">
        <v>6329.05</v>
      </c>
      <c r="W199" s="6">
        <v>8597.26</v>
      </c>
      <c r="X199" s="6">
        <v>7766.66</v>
      </c>
      <c r="Y199" s="6">
        <v>8044.52</v>
      </c>
      <c r="Z199" s="6">
        <v>0</v>
      </c>
      <c r="AA199" s="6">
        <v>0</v>
      </c>
      <c r="AB199" s="6">
        <v>0</v>
      </c>
      <c r="AC199" s="6">
        <v>0</v>
      </c>
      <c r="AD199" s="6">
        <v>6520.39</v>
      </c>
      <c r="AE199" s="6">
        <v>0</v>
      </c>
      <c r="AF199" s="6">
        <v>0</v>
      </c>
      <c r="AG199" s="6">
        <v>59033.599999999999</v>
      </c>
      <c r="AH199" s="6">
        <v>0</v>
      </c>
      <c r="AI199" s="6" t="s">
        <v>636</v>
      </c>
      <c r="AK199">
        <v>9.9674499999999995</v>
      </c>
      <c r="AL199">
        <v>23.048512866666702</v>
      </c>
      <c r="AM199">
        <f t="shared" si="5"/>
        <v>13.081062866666702</v>
      </c>
      <c r="AN199">
        <v>19.845758273838399</v>
      </c>
      <c r="AO199">
        <v>13.2115384615384</v>
      </c>
      <c r="AP199" s="19" t="s">
        <v>637</v>
      </c>
    </row>
    <row r="200" spans="1:42" ht="57.75" customHeight="1">
      <c r="B200">
        <f t="shared" si="4"/>
        <v>0</v>
      </c>
      <c r="C200" s="19" t="s">
        <v>640</v>
      </c>
      <c r="D200" t="s">
        <v>225</v>
      </c>
      <c r="E200" s="17">
        <v>92.308000000000007</v>
      </c>
      <c r="F200">
        <v>13</v>
      </c>
      <c r="G200">
        <v>1</v>
      </c>
      <c r="H200">
        <v>0</v>
      </c>
      <c r="I200">
        <v>2</v>
      </c>
      <c r="J200">
        <v>14</v>
      </c>
      <c r="K200">
        <v>135</v>
      </c>
      <c r="L200">
        <v>147</v>
      </c>
      <c r="M200">
        <v>5.5E-2</v>
      </c>
      <c r="N200">
        <v>26.9</v>
      </c>
      <c r="O200" t="s">
        <v>641</v>
      </c>
      <c r="P200" t="s">
        <v>642</v>
      </c>
      <c r="Q200">
        <v>25600000</v>
      </c>
      <c r="R200">
        <v>27000000</v>
      </c>
      <c r="S200">
        <v>19200000</v>
      </c>
      <c r="T200">
        <v>7080000</v>
      </c>
      <c r="U200">
        <v>7220000</v>
      </c>
      <c r="V200">
        <v>6990000</v>
      </c>
      <c r="W200">
        <v>1540000</v>
      </c>
      <c r="X200">
        <v>1870000</v>
      </c>
      <c r="Y200">
        <v>1560000</v>
      </c>
      <c r="Z200">
        <v>2450000</v>
      </c>
      <c r="AA200">
        <v>2790000</v>
      </c>
      <c r="AB200">
        <v>3320000</v>
      </c>
      <c r="AC200">
        <v>2740000</v>
      </c>
      <c r="AD200">
        <v>2440000</v>
      </c>
      <c r="AE200">
        <v>2680000</v>
      </c>
      <c r="AF200">
        <v>1740000</v>
      </c>
      <c r="AG200">
        <v>2350000</v>
      </c>
      <c r="AH200">
        <v>2030000</v>
      </c>
      <c r="AI200" t="s">
        <v>643</v>
      </c>
      <c r="AK200">
        <v>10.987500000000001</v>
      </c>
      <c r="AL200">
        <v>10.9650305333333</v>
      </c>
      <c r="AM200">
        <f t="shared" si="5"/>
        <v>2.246946666670091E-2</v>
      </c>
      <c r="AN200">
        <v>28.566311091143501</v>
      </c>
      <c r="AO200">
        <v>27.6428571428571</v>
      </c>
      <c r="AP200" s="19" t="s">
        <v>640</v>
      </c>
    </row>
    <row r="201" spans="1:42" ht="57.75" customHeight="1">
      <c r="A201">
        <v>1</v>
      </c>
      <c r="B201">
        <f t="shared" si="4"/>
        <v>0</v>
      </c>
      <c r="C201" s="19" t="s">
        <v>644</v>
      </c>
      <c r="D201" t="s">
        <v>645</v>
      </c>
      <c r="E201" s="17">
        <v>80</v>
      </c>
      <c r="F201">
        <v>20</v>
      </c>
      <c r="G201">
        <v>4</v>
      </c>
      <c r="H201">
        <v>0</v>
      </c>
      <c r="I201">
        <v>1</v>
      </c>
      <c r="J201">
        <v>20</v>
      </c>
      <c r="K201">
        <v>64</v>
      </c>
      <c r="L201">
        <v>83</v>
      </c>
      <c r="M201" s="1">
        <v>1.81E-6</v>
      </c>
      <c r="N201">
        <v>38.9</v>
      </c>
      <c r="O201" t="s">
        <v>644</v>
      </c>
      <c r="P201" t="s">
        <v>646</v>
      </c>
      <c r="Q201" s="6">
        <v>0</v>
      </c>
      <c r="R201" s="6">
        <v>195912</v>
      </c>
      <c r="S201" s="6">
        <v>132084</v>
      </c>
      <c r="T201" s="6">
        <v>149498</v>
      </c>
      <c r="U201" s="6">
        <v>148480</v>
      </c>
      <c r="V201" s="6">
        <v>107356</v>
      </c>
      <c r="W201" s="6">
        <v>235937</v>
      </c>
      <c r="X201" s="6">
        <v>226393</v>
      </c>
      <c r="Y201" s="6">
        <v>269423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 t="s">
        <v>647</v>
      </c>
      <c r="AK201">
        <v>23.665400000000002</v>
      </c>
      <c r="AL201">
        <v>28.893043599999999</v>
      </c>
      <c r="AM201">
        <f t="shared" si="5"/>
        <v>5.2276435999999968</v>
      </c>
      <c r="AN201">
        <v>45.550836107487299</v>
      </c>
      <c r="AO201">
        <v>18.75</v>
      </c>
      <c r="AP201" s="19" t="s">
        <v>644</v>
      </c>
    </row>
    <row r="202" spans="1:42" ht="57.75" customHeight="1">
      <c r="B202">
        <f t="shared" si="4"/>
        <v>1</v>
      </c>
      <c r="C202" s="19" t="s">
        <v>648</v>
      </c>
      <c r="D202" t="s">
        <v>638</v>
      </c>
      <c r="E202" s="17">
        <v>84.614999999999995</v>
      </c>
      <c r="F202">
        <v>13</v>
      </c>
      <c r="G202">
        <v>2</v>
      </c>
      <c r="H202">
        <v>0</v>
      </c>
      <c r="I202">
        <v>1</v>
      </c>
      <c r="J202">
        <v>13</v>
      </c>
      <c r="K202">
        <v>55</v>
      </c>
      <c r="L202">
        <v>67</v>
      </c>
      <c r="M202">
        <v>0.11</v>
      </c>
      <c r="N202">
        <v>25.8</v>
      </c>
      <c r="O202" t="s">
        <v>648</v>
      </c>
      <c r="P202" t="s">
        <v>639</v>
      </c>
      <c r="Q202" s="6">
        <v>4940000</v>
      </c>
      <c r="R202" s="6">
        <v>3570000</v>
      </c>
      <c r="S202" s="6">
        <v>3480000</v>
      </c>
      <c r="T202" s="6">
        <v>4440000</v>
      </c>
      <c r="U202" s="6">
        <v>4830000</v>
      </c>
      <c r="V202" s="6">
        <v>4250000</v>
      </c>
      <c r="W202" s="6">
        <v>5760000</v>
      </c>
      <c r="X202" s="6">
        <v>6630000</v>
      </c>
      <c r="Y202" s="6">
        <v>6550000</v>
      </c>
      <c r="Z202" s="6">
        <v>614768</v>
      </c>
      <c r="AA202" s="6">
        <v>484831</v>
      </c>
      <c r="AB202" s="6">
        <v>558453</v>
      </c>
      <c r="AC202" s="6">
        <v>607473</v>
      </c>
      <c r="AD202" s="6">
        <v>1320000</v>
      </c>
      <c r="AE202" s="6">
        <v>651105</v>
      </c>
      <c r="AF202" s="6">
        <v>463082</v>
      </c>
      <c r="AG202" s="6">
        <v>484797</v>
      </c>
      <c r="AH202" s="6">
        <v>499035</v>
      </c>
      <c r="AI202" s="6" t="s">
        <v>647</v>
      </c>
      <c r="AK202">
        <v>14.149699999999999</v>
      </c>
      <c r="AL202">
        <v>14.2030257333333</v>
      </c>
      <c r="AM202">
        <f t="shared" si="5"/>
        <v>5.3325733333300818E-2</v>
      </c>
      <c r="AN202">
        <v>36.612092153779102</v>
      </c>
      <c r="AO202">
        <v>29.7115384615384</v>
      </c>
      <c r="AP202" s="19" t="s">
        <v>648</v>
      </c>
    </row>
    <row r="203" spans="1:42" ht="57.75" customHeight="1">
      <c r="B203">
        <f t="shared" si="4"/>
        <v>1</v>
      </c>
      <c r="C203" s="19" t="s">
        <v>649</v>
      </c>
      <c r="D203" t="s">
        <v>650</v>
      </c>
      <c r="E203" s="17">
        <v>81.817999999999998</v>
      </c>
      <c r="F203">
        <v>11</v>
      </c>
      <c r="G203">
        <v>2</v>
      </c>
      <c r="H203">
        <v>0</v>
      </c>
      <c r="I203">
        <v>1</v>
      </c>
      <c r="J203">
        <v>11</v>
      </c>
      <c r="K203">
        <v>107</v>
      </c>
      <c r="L203">
        <v>117</v>
      </c>
      <c r="M203">
        <v>0.12</v>
      </c>
      <c r="N203">
        <v>25.8</v>
      </c>
      <c r="O203" t="s">
        <v>649</v>
      </c>
      <c r="P203" t="s">
        <v>651</v>
      </c>
      <c r="Q203" s="6">
        <v>465102</v>
      </c>
      <c r="R203" s="6">
        <v>573552</v>
      </c>
      <c r="S203" s="6">
        <v>268806</v>
      </c>
      <c r="T203" s="6">
        <v>288585</v>
      </c>
      <c r="U203" s="6">
        <v>367312</v>
      </c>
      <c r="V203" s="6">
        <v>267019</v>
      </c>
      <c r="W203" s="6">
        <v>241837</v>
      </c>
      <c r="X203" s="6">
        <v>237776</v>
      </c>
      <c r="Y203" s="6">
        <v>192721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 t="s">
        <v>647</v>
      </c>
      <c r="AK203">
        <v>11.4595</v>
      </c>
      <c r="AL203">
        <v>13.676292</v>
      </c>
      <c r="AM203">
        <f t="shared" si="5"/>
        <v>2.2167919999999999</v>
      </c>
      <c r="AN203">
        <v>25.210643186814099</v>
      </c>
      <c r="AO203">
        <v>21.272727272727199</v>
      </c>
      <c r="AP203" s="19" t="s">
        <v>649</v>
      </c>
    </row>
    <row r="204" spans="1:42" ht="57.75" customHeight="1">
      <c r="B204">
        <f t="shared" si="4"/>
        <v>1</v>
      </c>
      <c r="C204" s="19" t="s">
        <v>652</v>
      </c>
      <c r="D204" t="s">
        <v>653</v>
      </c>
      <c r="E204" s="17">
        <v>78.947000000000003</v>
      </c>
      <c r="F204">
        <v>19</v>
      </c>
      <c r="G204">
        <v>4</v>
      </c>
      <c r="H204">
        <v>0</v>
      </c>
      <c r="I204">
        <v>1</v>
      </c>
      <c r="J204">
        <v>19</v>
      </c>
      <c r="K204">
        <v>20</v>
      </c>
      <c r="L204">
        <v>38</v>
      </c>
      <c r="M204" s="1">
        <v>6.4099999999999996E-6</v>
      </c>
      <c r="N204">
        <v>37.4</v>
      </c>
      <c r="O204" t="s">
        <v>652</v>
      </c>
      <c r="P204" t="s">
        <v>654</v>
      </c>
      <c r="Q204" s="6">
        <v>261926</v>
      </c>
      <c r="R204" s="6">
        <v>351569</v>
      </c>
      <c r="S204" s="6">
        <v>238080</v>
      </c>
      <c r="T204" s="6">
        <v>177035</v>
      </c>
      <c r="U204" s="6">
        <v>152407</v>
      </c>
      <c r="V204" s="6">
        <v>147267</v>
      </c>
      <c r="W204" s="6">
        <v>175436</v>
      </c>
      <c r="X204" s="6">
        <v>193524</v>
      </c>
      <c r="Y204" s="6">
        <v>109429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 t="s">
        <v>647</v>
      </c>
      <c r="AK204">
        <v>24.8931</v>
      </c>
      <c r="AL204">
        <v>27.1356857333333</v>
      </c>
      <c r="AM204">
        <f t="shared" si="5"/>
        <v>2.2425857333332999</v>
      </c>
      <c r="AN204">
        <v>43.307695776865899</v>
      </c>
      <c r="AO204">
        <v>19.815789473684202</v>
      </c>
      <c r="AP204" s="19" t="s">
        <v>652</v>
      </c>
    </row>
    <row r="205" spans="1:42" ht="57.75" customHeight="1">
      <c r="B205">
        <f t="shared" si="4"/>
        <v>0</v>
      </c>
      <c r="C205" s="19" t="s">
        <v>655</v>
      </c>
      <c r="D205" t="s">
        <v>656</v>
      </c>
      <c r="E205" s="17">
        <v>92.308000000000007</v>
      </c>
      <c r="F205">
        <v>13</v>
      </c>
      <c r="G205">
        <v>1</v>
      </c>
      <c r="H205">
        <v>0</v>
      </c>
      <c r="I205">
        <v>1</v>
      </c>
      <c r="J205">
        <v>13</v>
      </c>
      <c r="K205">
        <v>20</v>
      </c>
      <c r="L205">
        <v>32</v>
      </c>
      <c r="M205">
        <v>1.2999999999999999E-2</v>
      </c>
      <c r="N205">
        <v>28.5</v>
      </c>
      <c r="O205" t="s">
        <v>657</v>
      </c>
      <c r="P205" t="s">
        <v>658</v>
      </c>
      <c r="Q205" s="18">
        <v>0</v>
      </c>
      <c r="R205" s="18">
        <v>0</v>
      </c>
      <c r="S205" s="18">
        <v>0</v>
      </c>
      <c r="T205" s="18">
        <v>4344.25</v>
      </c>
      <c r="U205" s="18">
        <v>2816.55</v>
      </c>
      <c r="V205" s="18">
        <v>3430.44</v>
      </c>
      <c r="W205" s="18">
        <v>111155</v>
      </c>
      <c r="X205" s="18">
        <v>0</v>
      </c>
      <c r="Y205" s="18">
        <v>7048.83</v>
      </c>
      <c r="Z205" s="18">
        <v>0</v>
      </c>
      <c r="AA205" s="18">
        <v>964036</v>
      </c>
      <c r="AB205" s="18">
        <v>842039</v>
      </c>
      <c r="AC205" s="18">
        <v>1370000</v>
      </c>
      <c r="AD205" s="18">
        <v>0</v>
      </c>
      <c r="AE205" s="18">
        <v>185118</v>
      </c>
      <c r="AF205" s="18">
        <v>0</v>
      </c>
      <c r="AG205" s="18">
        <v>0</v>
      </c>
      <c r="AH205" s="18">
        <v>2400000</v>
      </c>
      <c r="AI205" s="18" t="s">
        <v>659</v>
      </c>
      <c r="AK205">
        <v>19.783200000000001</v>
      </c>
      <c r="AL205">
        <v>23.8336082</v>
      </c>
      <c r="AM205">
        <f t="shared" si="5"/>
        <v>4.0504081999999997</v>
      </c>
      <c r="AN205">
        <v>22.552307316956998</v>
      </c>
      <c r="AO205">
        <v>7.9428571428571404</v>
      </c>
      <c r="AP205" s="19" t="s">
        <v>655</v>
      </c>
    </row>
    <row r="206" spans="1:42" ht="57.75" customHeight="1">
      <c r="B206">
        <f t="shared" si="4"/>
        <v>1</v>
      </c>
      <c r="C206" s="19" t="s">
        <v>660</v>
      </c>
      <c r="D206" t="s">
        <v>638</v>
      </c>
      <c r="E206" s="17">
        <v>69.230999999999995</v>
      </c>
      <c r="F206">
        <v>13</v>
      </c>
      <c r="G206">
        <v>4</v>
      </c>
      <c r="H206">
        <v>0</v>
      </c>
      <c r="I206">
        <v>1</v>
      </c>
      <c r="J206">
        <v>13</v>
      </c>
      <c r="K206">
        <v>55</v>
      </c>
      <c r="L206">
        <v>67</v>
      </c>
      <c r="M206">
        <v>3.7</v>
      </c>
      <c r="N206">
        <v>21.6</v>
      </c>
      <c r="O206" t="s">
        <v>660</v>
      </c>
      <c r="P206" t="s">
        <v>639</v>
      </c>
      <c r="Q206" s="18">
        <v>0</v>
      </c>
      <c r="R206" s="18">
        <v>0</v>
      </c>
      <c r="S206" s="18">
        <v>0</v>
      </c>
      <c r="T206" s="18">
        <v>7198.97</v>
      </c>
      <c r="U206" s="18">
        <v>10736.3</v>
      </c>
      <c r="V206" s="18">
        <v>4410.6400000000003</v>
      </c>
      <c r="W206" s="18">
        <v>14840.5</v>
      </c>
      <c r="X206" s="18">
        <v>24503</v>
      </c>
      <c r="Y206" s="18">
        <v>23621</v>
      </c>
      <c r="Z206" s="18">
        <v>13290.7</v>
      </c>
      <c r="AA206" s="18">
        <v>22513.7</v>
      </c>
      <c r="AB206" s="18">
        <v>0</v>
      </c>
      <c r="AC206" s="18">
        <v>0</v>
      </c>
      <c r="AD206" s="18">
        <v>29119.599999999999</v>
      </c>
      <c r="AE206" s="18">
        <v>22381.5</v>
      </c>
      <c r="AF206" s="18">
        <v>27435.200000000001</v>
      </c>
      <c r="AG206" s="18">
        <v>18839.8</v>
      </c>
      <c r="AH206" s="18">
        <v>32507.7</v>
      </c>
      <c r="AI206" s="18" t="s">
        <v>659</v>
      </c>
      <c r="AK206">
        <v>11.1061</v>
      </c>
      <c r="AL206">
        <v>24.363314533333298</v>
      </c>
      <c r="AM206">
        <f t="shared" si="5"/>
        <v>13.257214533333299</v>
      </c>
      <c r="AN206">
        <v>15.413615695871799</v>
      </c>
      <c r="AO206">
        <v>6.0615384615384604</v>
      </c>
      <c r="AP206" s="19" t="s">
        <v>660</v>
      </c>
    </row>
    <row r="207" spans="1:42" ht="57.75" customHeight="1">
      <c r="B207">
        <f t="shared" si="4"/>
        <v>0</v>
      </c>
      <c r="C207" s="19" t="s">
        <v>661</v>
      </c>
      <c r="D207" t="s">
        <v>490</v>
      </c>
      <c r="E207" s="17">
        <v>92.856999999999999</v>
      </c>
      <c r="F207">
        <v>28</v>
      </c>
      <c r="G207">
        <v>2</v>
      </c>
      <c r="H207">
        <v>0</v>
      </c>
      <c r="I207">
        <v>1</v>
      </c>
      <c r="J207">
        <v>28</v>
      </c>
      <c r="K207">
        <v>414</v>
      </c>
      <c r="L207">
        <v>441</v>
      </c>
      <c r="M207" s="1">
        <v>4.9200000000000002E-13</v>
      </c>
      <c r="N207">
        <v>58.9</v>
      </c>
      <c r="O207" t="s">
        <v>661</v>
      </c>
      <c r="P207" t="s">
        <v>662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657085</v>
      </c>
      <c r="AA207">
        <v>39371</v>
      </c>
      <c r="AB207">
        <v>124475</v>
      </c>
      <c r="AC207">
        <v>475075</v>
      </c>
      <c r="AD207">
        <v>191364</v>
      </c>
      <c r="AE207">
        <v>50297.7</v>
      </c>
      <c r="AF207">
        <v>96537.7</v>
      </c>
      <c r="AG207">
        <v>26219.200000000001</v>
      </c>
      <c r="AH207">
        <v>34345.300000000003</v>
      </c>
      <c r="AI207" t="s">
        <v>663</v>
      </c>
      <c r="AK207">
        <v>21.17</v>
      </c>
      <c r="AL207">
        <v>21.246313066666701</v>
      </c>
      <c r="AM207">
        <f t="shared" si="5"/>
        <v>7.6313066666699569E-2</v>
      </c>
      <c r="AN207">
        <v>48.226720234360997</v>
      </c>
      <c r="AO207">
        <v>18.128571428571401</v>
      </c>
      <c r="AP207" s="19" t="s">
        <v>661</v>
      </c>
    </row>
    <row r="208" spans="1:42" ht="57.75" customHeight="1">
      <c r="A208">
        <v>1</v>
      </c>
      <c r="B208">
        <f t="shared" si="4"/>
        <v>0</v>
      </c>
      <c r="C208" s="19" t="s">
        <v>664</v>
      </c>
      <c r="D208" t="s">
        <v>645</v>
      </c>
      <c r="E208" s="17">
        <v>80</v>
      </c>
      <c r="F208">
        <v>20</v>
      </c>
      <c r="G208">
        <v>4</v>
      </c>
      <c r="H208">
        <v>0</v>
      </c>
      <c r="I208">
        <v>1</v>
      </c>
      <c r="J208">
        <v>20</v>
      </c>
      <c r="K208">
        <v>64</v>
      </c>
      <c r="L208">
        <v>83</v>
      </c>
      <c r="M208" s="1">
        <v>1.5099999999999999E-6</v>
      </c>
      <c r="N208">
        <v>39.299999999999997</v>
      </c>
      <c r="O208" t="s">
        <v>664</v>
      </c>
      <c r="P208" t="s">
        <v>646</v>
      </c>
      <c r="Q208" s="18">
        <v>6337.39</v>
      </c>
      <c r="R208" s="18">
        <v>0</v>
      </c>
      <c r="S208" s="18">
        <v>0</v>
      </c>
      <c r="T208" s="18">
        <v>0</v>
      </c>
      <c r="U208" s="18">
        <v>0</v>
      </c>
      <c r="V208" s="18">
        <v>0</v>
      </c>
      <c r="W208" s="18">
        <v>0</v>
      </c>
      <c r="X208" s="18">
        <v>0</v>
      </c>
      <c r="Y208" s="18">
        <v>0</v>
      </c>
      <c r="Z208" s="18">
        <v>0</v>
      </c>
      <c r="AA208" s="18">
        <v>0</v>
      </c>
      <c r="AB208" s="18">
        <v>0</v>
      </c>
      <c r="AC208" s="18">
        <v>0</v>
      </c>
      <c r="AD208" s="18">
        <v>0</v>
      </c>
      <c r="AE208" s="18">
        <v>0</v>
      </c>
      <c r="AF208" s="18">
        <v>0</v>
      </c>
      <c r="AG208" s="18">
        <v>0</v>
      </c>
      <c r="AH208" s="18">
        <v>0</v>
      </c>
      <c r="AI208" s="18" t="s">
        <v>665</v>
      </c>
      <c r="AK208">
        <v>23.6494</v>
      </c>
      <c r="AL208">
        <v>25.184896533333301</v>
      </c>
      <c r="AM208">
        <f t="shared" si="5"/>
        <v>1.5354965333333013</v>
      </c>
      <c r="AN208">
        <v>31.041521812370899</v>
      </c>
      <c r="AO208">
        <v>4.4400000000000004</v>
      </c>
      <c r="AP208" s="19" t="s">
        <v>664</v>
      </c>
    </row>
    <row r="209" spans="2:42" ht="57.75" customHeight="1">
      <c r="B209">
        <f t="shared" si="4"/>
        <v>1</v>
      </c>
      <c r="C209" s="19" t="s">
        <v>666</v>
      </c>
      <c r="D209" t="s">
        <v>645</v>
      </c>
      <c r="E209" s="17">
        <v>73.332999999999998</v>
      </c>
      <c r="F209">
        <v>15</v>
      </c>
      <c r="G209">
        <v>4</v>
      </c>
      <c r="H209">
        <v>0</v>
      </c>
      <c r="I209">
        <v>1</v>
      </c>
      <c r="J209">
        <v>15</v>
      </c>
      <c r="K209">
        <v>69</v>
      </c>
      <c r="L209">
        <v>83</v>
      </c>
      <c r="M209">
        <v>8.0000000000000002E-3</v>
      </c>
      <c r="N209">
        <v>29.3</v>
      </c>
      <c r="O209" t="s">
        <v>666</v>
      </c>
      <c r="P209" t="s">
        <v>667</v>
      </c>
      <c r="Q209" s="18">
        <v>112671</v>
      </c>
      <c r="R209" s="18">
        <v>6379.39</v>
      </c>
      <c r="S209" s="18">
        <v>4649.46</v>
      </c>
      <c r="T209" s="18">
        <v>9233.89</v>
      </c>
      <c r="U209" s="18">
        <v>10211.299999999999</v>
      </c>
      <c r="V209" s="18">
        <v>8918.0300000000007</v>
      </c>
      <c r="W209" s="18">
        <v>47823.9</v>
      </c>
      <c r="X209" s="18">
        <v>10454.5</v>
      </c>
      <c r="Y209" s="18">
        <v>9199.74</v>
      </c>
      <c r="Z209" s="18">
        <v>0</v>
      </c>
      <c r="AA209" s="18">
        <v>0</v>
      </c>
      <c r="AB209" s="18">
        <v>0</v>
      </c>
      <c r="AC209" s="18">
        <v>0</v>
      </c>
      <c r="AD209" s="18">
        <v>0</v>
      </c>
      <c r="AE209" s="18">
        <v>0</v>
      </c>
      <c r="AF209" s="18">
        <v>0</v>
      </c>
      <c r="AG209" s="18">
        <v>0</v>
      </c>
      <c r="AH209" s="18">
        <v>0</v>
      </c>
      <c r="AI209" s="18" t="s">
        <v>665</v>
      </c>
      <c r="AK209">
        <v>22.604700000000001</v>
      </c>
      <c r="AL209">
        <v>29.964548799999999</v>
      </c>
      <c r="AM209">
        <f t="shared" si="5"/>
        <v>7.3598487999999982</v>
      </c>
      <c r="AN209">
        <v>22.277217009498798</v>
      </c>
      <c r="AO209">
        <v>8.9600000000000009</v>
      </c>
      <c r="AP209" s="19" t="s">
        <v>666</v>
      </c>
    </row>
    <row r="210" spans="2:42" ht="57.75" customHeight="1">
      <c r="B210">
        <f t="shared" si="4"/>
        <v>1</v>
      </c>
      <c r="C210" s="19" t="s">
        <v>668</v>
      </c>
      <c r="D210" t="s">
        <v>638</v>
      </c>
      <c r="E210" s="17">
        <v>76.923000000000002</v>
      </c>
      <c r="F210">
        <v>13</v>
      </c>
      <c r="G210">
        <v>3</v>
      </c>
      <c r="H210">
        <v>0</v>
      </c>
      <c r="I210">
        <v>1</v>
      </c>
      <c r="J210">
        <v>13</v>
      </c>
      <c r="K210">
        <v>55</v>
      </c>
      <c r="L210">
        <v>67</v>
      </c>
      <c r="M210">
        <v>0.59</v>
      </c>
      <c r="N210">
        <v>23.9</v>
      </c>
      <c r="O210" t="s">
        <v>668</v>
      </c>
      <c r="P210" t="s">
        <v>639</v>
      </c>
      <c r="Q210" s="18">
        <v>78283.600000000006</v>
      </c>
      <c r="R210" s="18">
        <v>87105.600000000006</v>
      </c>
      <c r="S210" s="18">
        <v>0</v>
      </c>
      <c r="T210" s="18">
        <v>36277.199999999997</v>
      </c>
      <c r="U210" s="18">
        <v>34195.300000000003</v>
      </c>
      <c r="V210" s="18">
        <v>32882.400000000001</v>
      </c>
      <c r="W210" s="18">
        <v>51950.400000000001</v>
      </c>
      <c r="X210" s="18">
        <v>53539.199999999997</v>
      </c>
      <c r="Y210" s="18">
        <v>35409.699999999997</v>
      </c>
      <c r="Z210" s="18">
        <v>0</v>
      </c>
      <c r="AA210" s="18">
        <v>51237.4</v>
      </c>
      <c r="AB210" s="18">
        <v>0</v>
      </c>
      <c r="AC210" s="18">
        <v>30422.799999999999</v>
      </c>
      <c r="AD210" s="18">
        <v>52177.599999999999</v>
      </c>
      <c r="AE210" s="18">
        <v>0</v>
      </c>
      <c r="AF210" s="18">
        <v>42243.1</v>
      </c>
      <c r="AG210" s="18">
        <v>45537.9</v>
      </c>
      <c r="AH210" s="18">
        <v>39639.800000000003</v>
      </c>
      <c r="AI210" s="18" t="s">
        <v>665</v>
      </c>
      <c r="AK210">
        <v>14.112</v>
      </c>
      <c r="AL210">
        <v>28.614645733333301</v>
      </c>
      <c r="AM210">
        <f t="shared" si="5"/>
        <v>14.502645733333301</v>
      </c>
      <c r="AN210">
        <v>14.981108966789201</v>
      </c>
      <c r="AO210">
        <v>6.8615384615384603</v>
      </c>
      <c r="AP210" s="19" t="s">
        <v>668</v>
      </c>
    </row>
    <row r="211" spans="2:42" ht="57.75" customHeight="1">
      <c r="B211">
        <f t="shared" si="4"/>
        <v>0</v>
      </c>
      <c r="C211" s="19" t="s">
        <v>669</v>
      </c>
      <c r="D211" t="s">
        <v>670</v>
      </c>
      <c r="E211" s="17">
        <v>92.593000000000004</v>
      </c>
      <c r="F211">
        <v>27</v>
      </c>
      <c r="G211">
        <v>2</v>
      </c>
      <c r="H211">
        <v>0</v>
      </c>
      <c r="I211">
        <v>1</v>
      </c>
      <c r="J211">
        <v>27</v>
      </c>
      <c r="K211">
        <v>254</v>
      </c>
      <c r="L211">
        <v>280</v>
      </c>
      <c r="M211" s="1">
        <v>2.7899999999999999E-11</v>
      </c>
      <c r="N211">
        <v>53.9</v>
      </c>
      <c r="O211" t="s">
        <v>669</v>
      </c>
      <c r="P211" t="s">
        <v>671</v>
      </c>
      <c r="Q211" s="6">
        <v>57362</v>
      </c>
      <c r="R211" s="6">
        <v>0</v>
      </c>
      <c r="S211" s="6">
        <v>0</v>
      </c>
      <c r="T211" s="6">
        <v>0</v>
      </c>
      <c r="U211" s="6">
        <v>185634</v>
      </c>
      <c r="V211" s="6">
        <v>0</v>
      </c>
      <c r="W211" s="6">
        <v>283904</v>
      </c>
      <c r="X211" s="6">
        <v>310099</v>
      </c>
      <c r="Y211" s="6">
        <v>242285</v>
      </c>
      <c r="Z211" s="6">
        <v>1790000</v>
      </c>
      <c r="AA211" s="6">
        <v>2160000</v>
      </c>
      <c r="AB211" s="6">
        <v>881813</v>
      </c>
      <c r="AC211" s="6">
        <v>3710000</v>
      </c>
      <c r="AD211" s="6">
        <v>2800000</v>
      </c>
      <c r="AE211" s="6">
        <v>4080000</v>
      </c>
      <c r="AF211" s="6">
        <v>3100000</v>
      </c>
      <c r="AG211" s="6">
        <v>2730000</v>
      </c>
      <c r="AH211" s="6">
        <v>2810000</v>
      </c>
      <c r="AI211" s="6" t="s">
        <v>672</v>
      </c>
      <c r="AK211">
        <v>29.6816</v>
      </c>
      <c r="AL211">
        <v>29.709917799999999</v>
      </c>
      <c r="AM211">
        <f t="shared" si="5"/>
        <v>2.8317799999999949E-2</v>
      </c>
      <c r="AN211">
        <v>73.7273590214145</v>
      </c>
      <c r="AO211">
        <v>34.6</v>
      </c>
      <c r="AP211" s="19" t="s">
        <v>669</v>
      </c>
    </row>
    <row r="212" spans="2:42" ht="57.75" customHeight="1">
      <c r="B212">
        <f t="shared" si="4"/>
        <v>1</v>
      </c>
      <c r="C212" s="19" t="s">
        <v>673</v>
      </c>
      <c r="D212" t="s">
        <v>670</v>
      </c>
      <c r="E212" s="17">
        <v>93.332999999999998</v>
      </c>
      <c r="F212">
        <v>15</v>
      </c>
      <c r="G212">
        <v>1</v>
      </c>
      <c r="H212">
        <v>0</v>
      </c>
      <c r="I212">
        <v>1</v>
      </c>
      <c r="J212">
        <v>15</v>
      </c>
      <c r="K212">
        <v>266</v>
      </c>
      <c r="L212">
        <v>280</v>
      </c>
      <c r="M212">
        <v>2E-3</v>
      </c>
      <c r="N212">
        <v>31.2</v>
      </c>
      <c r="O212" t="s">
        <v>673</v>
      </c>
      <c r="P212" t="s">
        <v>674</v>
      </c>
      <c r="Q212" s="6">
        <v>147973</v>
      </c>
      <c r="R212" s="6">
        <v>0</v>
      </c>
      <c r="S212" s="6">
        <v>0</v>
      </c>
      <c r="T212" s="6">
        <v>142393</v>
      </c>
      <c r="U212" s="6">
        <v>180531</v>
      </c>
      <c r="V212" s="6">
        <v>136423</v>
      </c>
      <c r="W212" s="6">
        <v>137306</v>
      </c>
      <c r="X212" s="6">
        <v>231974</v>
      </c>
      <c r="Y212" s="6">
        <v>206914</v>
      </c>
      <c r="Z212" s="6">
        <v>1610000</v>
      </c>
      <c r="AA212" s="6">
        <v>1230000</v>
      </c>
      <c r="AB212" s="6">
        <v>1770000</v>
      </c>
      <c r="AC212" s="6">
        <v>2160000</v>
      </c>
      <c r="AD212" s="6">
        <v>2460000</v>
      </c>
      <c r="AE212" s="6">
        <v>2790000</v>
      </c>
      <c r="AF212" s="6">
        <v>3130000</v>
      </c>
      <c r="AG212" s="6">
        <v>3760000</v>
      </c>
      <c r="AH212" s="6">
        <v>2610000</v>
      </c>
      <c r="AI212" s="6" t="s">
        <v>672</v>
      </c>
      <c r="AK212">
        <v>18.101299999999998</v>
      </c>
      <c r="AL212">
        <v>18.183635666666699</v>
      </c>
      <c r="AM212">
        <f t="shared" si="5"/>
        <v>8.2335666666701002E-2</v>
      </c>
      <c r="AN212">
        <v>43.800332781297598</v>
      </c>
      <c r="AO212">
        <v>74.7</v>
      </c>
      <c r="AP212" s="19" t="s">
        <v>673</v>
      </c>
    </row>
    <row r="213" spans="2:42" ht="57.75" customHeight="1">
      <c r="B213">
        <f t="shared" si="4"/>
        <v>0</v>
      </c>
      <c r="C213" s="19" t="s">
        <v>675</v>
      </c>
      <c r="D213" t="s">
        <v>645</v>
      </c>
      <c r="E213" s="17">
        <v>50</v>
      </c>
      <c r="F213">
        <v>20</v>
      </c>
      <c r="G213">
        <v>10</v>
      </c>
      <c r="H213">
        <v>0</v>
      </c>
      <c r="I213">
        <v>1</v>
      </c>
      <c r="J213">
        <v>20</v>
      </c>
      <c r="K213">
        <v>64</v>
      </c>
      <c r="L213">
        <v>83</v>
      </c>
      <c r="M213">
        <v>0.26</v>
      </c>
      <c r="N213">
        <v>25.4</v>
      </c>
      <c r="O213" t="s">
        <v>675</v>
      </c>
      <c r="P213" t="s">
        <v>646</v>
      </c>
      <c r="Q213" s="18">
        <v>0</v>
      </c>
      <c r="R213" s="18">
        <v>0</v>
      </c>
      <c r="S213" s="18">
        <v>0</v>
      </c>
      <c r="T213" s="18">
        <v>0</v>
      </c>
      <c r="U213" s="18">
        <v>0</v>
      </c>
      <c r="V213" s="18">
        <v>0</v>
      </c>
      <c r="W213" s="18">
        <v>0</v>
      </c>
      <c r="X213" s="18">
        <v>0</v>
      </c>
      <c r="Y213" s="18">
        <v>0</v>
      </c>
      <c r="Z213" s="18">
        <v>0</v>
      </c>
      <c r="AA213" s="18">
        <v>0</v>
      </c>
      <c r="AB213" s="18">
        <v>0</v>
      </c>
      <c r="AC213" s="18">
        <v>325087</v>
      </c>
      <c r="AD213" s="18">
        <v>435353</v>
      </c>
      <c r="AE213" s="18">
        <v>397034</v>
      </c>
      <c r="AF213" s="18">
        <v>0</v>
      </c>
      <c r="AG213" s="18">
        <v>0</v>
      </c>
      <c r="AH213" s="18">
        <v>1124.76</v>
      </c>
      <c r="AI213" s="18" t="s">
        <v>676</v>
      </c>
      <c r="AK213">
        <v>27.9391</v>
      </c>
      <c r="AL213">
        <v>28.379096333333301</v>
      </c>
      <c r="AM213">
        <f t="shared" si="5"/>
        <v>0.43999633333330124</v>
      </c>
      <c r="AN213">
        <v>27.616158957994902</v>
      </c>
      <c r="AO213">
        <v>4.8600000000000003</v>
      </c>
      <c r="AP213" s="19" t="s">
        <v>675</v>
      </c>
    </row>
    <row r="214" spans="2:42" ht="57.75" customHeight="1">
      <c r="B214">
        <f t="shared" si="4"/>
        <v>1</v>
      </c>
      <c r="C214" s="19" t="s">
        <v>677</v>
      </c>
      <c r="D214" t="s">
        <v>534</v>
      </c>
      <c r="E214" s="17">
        <v>80</v>
      </c>
      <c r="F214">
        <v>15</v>
      </c>
      <c r="G214">
        <v>3</v>
      </c>
      <c r="H214">
        <v>0</v>
      </c>
      <c r="I214">
        <v>1</v>
      </c>
      <c r="J214">
        <v>15</v>
      </c>
      <c r="K214">
        <v>23</v>
      </c>
      <c r="L214">
        <v>37</v>
      </c>
      <c r="M214">
        <v>5.0000000000000001E-3</v>
      </c>
      <c r="N214">
        <v>29.6</v>
      </c>
      <c r="O214" t="s">
        <v>677</v>
      </c>
      <c r="P214" t="s">
        <v>535</v>
      </c>
      <c r="Q214" s="18">
        <v>0</v>
      </c>
      <c r="R214" s="18">
        <v>0</v>
      </c>
      <c r="S214" s="18">
        <v>0</v>
      </c>
      <c r="T214" s="18">
        <v>776.02</v>
      </c>
      <c r="U214" s="18">
        <v>0</v>
      </c>
      <c r="V214" s="18">
        <v>0</v>
      </c>
      <c r="W214" s="18">
        <v>37615.800000000003</v>
      </c>
      <c r="X214" s="18">
        <v>1343.24</v>
      </c>
      <c r="Y214" s="18">
        <v>2470.58</v>
      </c>
      <c r="Z214" s="18">
        <v>0</v>
      </c>
      <c r="AA214" s="18">
        <v>0</v>
      </c>
      <c r="AB214" s="18">
        <v>0</v>
      </c>
      <c r="AC214" s="18">
        <v>4137.18</v>
      </c>
      <c r="AD214" s="18">
        <v>2179.09</v>
      </c>
      <c r="AE214" s="18">
        <v>0</v>
      </c>
      <c r="AF214" s="18">
        <v>0</v>
      </c>
      <c r="AG214" s="18">
        <v>0</v>
      </c>
      <c r="AH214" s="18">
        <v>0</v>
      </c>
      <c r="AI214" s="18" t="s">
        <v>676</v>
      </c>
      <c r="AK214">
        <v>23.614899999999999</v>
      </c>
      <c r="AL214">
        <v>27.1117384</v>
      </c>
      <c r="AM214">
        <f t="shared" si="5"/>
        <v>3.4968384000000015</v>
      </c>
      <c r="AN214">
        <v>27.956599534807498</v>
      </c>
      <c r="AO214">
        <v>9.44</v>
      </c>
      <c r="AP214" s="19" t="s">
        <v>677</v>
      </c>
    </row>
    <row r="215" spans="2:42" ht="57.75" customHeight="1">
      <c r="B215">
        <f t="shared" si="4"/>
        <v>1</v>
      </c>
      <c r="C215" s="19" t="s">
        <v>678</v>
      </c>
      <c r="D215" t="s">
        <v>251</v>
      </c>
      <c r="E215" s="17">
        <v>90</v>
      </c>
      <c r="F215">
        <v>10</v>
      </c>
      <c r="G215">
        <v>1</v>
      </c>
      <c r="H215">
        <v>0</v>
      </c>
      <c r="I215">
        <v>2</v>
      </c>
      <c r="J215">
        <v>11</v>
      </c>
      <c r="K215">
        <v>107</v>
      </c>
      <c r="L215">
        <v>116</v>
      </c>
      <c r="M215">
        <v>0.15</v>
      </c>
      <c r="N215">
        <v>25.4</v>
      </c>
      <c r="O215" t="s">
        <v>679</v>
      </c>
      <c r="P215" t="s">
        <v>680</v>
      </c>
      <c r="Q215" s="18">
        <v>0</v>
      </c>
      <c r="R215" s="18">
        <v>0</v>
      </c>
      <c r="S215" s="18">
        <v>0</v>
      </c>
      <c r="T215" s="18">
        <v>0</v>
      </c>
      <c r="U215" s="18">
        <v>0</v>
      </c>
      <c r="V215" s="18">
        <v>0</v>
      </c>
      <c r="W215" s="18">
        <v>8702.94</v>
      </c>
      <c r="X215" s="18">
        <v>6630.54</v>
      </c>
      <c r="Y215" s="18">
        <v>6955.03</v>
      </c>
      <c r="Z215" s="18">
        <v>9055.81</v>
      </c>
      <c r="AA215" s="18">
        <v>16728.3</v>
      </c>
      <c r="AB215" s="18">
        <v>7105.38</v>
      </c>
      <c r="AC215" s="18">
        <v>16338.3</v>
      </c>
      <c r="AD215" s="18">
        <v>26978.9</v>
      </c>
      <c r="AE215" s="18">
        <v>19105.400000000001</v>
      </c>
      <c r="AF215" s="18">
        <v>10226.5</v>
      </c>
      <c r="AG215" s="18">
        <v>13979.5</v>
      </c>
      <c r="AH215" s="18">
        <v>14400.3</v>
      </c>
      <c r="AI215" s="18" t="s">
        <v>676</v>
      </c>
      <c r="AK215">
        <v>12.433199999999999</v>
      </c>
      <c r="AL215">
        <v>22.1454198666667</v>
      </c>
      <c r="AM215">
        <f t="shared" si="5"/>
        <v>9.7122198666667003</v>
      </c>
      <c r="AN215">
        <v>15.844136690646801</v>
      </c>
      <c r="AO215">
        <v>0.65</v>
      </c>
      <c r="AP215" s="19" t="s">
        <v>678</v>
      </c>
    </row>
    <row r="216" spans="2:42" ht="57.75" customHeight="1">
      <c r="B216">
        <f t="shared" si="4"/>
        <v>0</v>
      </c>
      <c r="C216" s="19" t="s">
        <v>681</v>
      </c>
      <c r="D216" t="s">
        <v>682</v>
      </c>
      <c r="E216" s="17">
        <v>87.5</v>
      </c>
      <c r="F216">
        <v>16</v>
      </c>
      <c r="G216">
        <v>2</v>
      </c>
      <c r="H216">
        <v>0</v>
      </c>
      <c r="I216">
        <v>1</v>
      </c>
      <c r="J216">
        <v>16</v>
      </c>
      <c r="K216">
        <v>134</v>
      </c>
      <c r="L216">
        <v>149</v>
      </c>
      <c r="M216">
        <v>1.0999999999999999E-2</v>
      </c>
      <c r="N216">
        <v>28.9</v>
      </c>
      <c r="O216" t="s">
        <v>681</v>
      </c>
      <c r="P216" t="s">
        <v>683</v>
      </c>
      <c r="Q216">
        <v>0</v>
      </c>
      <c r="R216">
        <v>0</v>
      </c>
      <c r="S216">
        <v>0</v>
      </c>
      <c r="T216">
        <v>74742.600000000006</v>
      </c>
      <c r="U216">
        <v>374.06400000000002</v>
      </c>
      <c r="V216">
        <v>0</v>
      </c>
      <c r="W216">
        <v>55472.2</v>
      </c>
      <c r="X216">
        <v>1107.01</v>
      </c>
      <c r="Y216">
        <v>0</v>
      </c>
      <c r="Z216">
        <v>0</v>
      </c>
      <c r="AA216">
        <v>0</v>
      </c>
      <c r="AB216">
        <v>452.64299999999997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684</v>
      </c>
      <c r="AK216">
        <v>17.562899999999999</v>
      </c>
      <c r="AL216">
        <v>29.070470400000001</v>
      </c>
      <c r="AM216">
        <f t="shared" si="5"/>
        <v>11.507570400000002</v>
      </c>
      <c r="AN216">
        <v>31.5310324746963</v>
      </c>
      <c r="AO216">
        <v>37.6875</v>
      </c>
      <c r="AP216" s="19" t="s">
        <v>681</v>
      </c>
    </row>
    <row r="217" spans="2:42" ht="57.75" customHeight="1">
      <c r="B217">
        <f t="shared" si="4"/>
        <v>0</v>
      </c>
      <c r="C217" s="19" t="s">
        <v>685</v>
      </c>
      <c r="D217" t="s">
        <v>116</v>
      </c>
      <c r="E217" s="17">
        <v>90.909000000000006</v>
      </c>
      <c r="F217">
        <v>11</v>
      </c>
      <c r="G217">
        <v>1</v>
      </c>
      <c r="H217">
        <v>0</v>
      </c>
      <c r="I217">
        <v>1</v>
      </c>
      <c r="J217">
        <v>11</v>
      </c>
      <c r="K217">
        <v>322</v>
      </c>
      <c r="L217">
        <v>332</v>
      </c>
      <c r="M217">
        <v>0.67</v>
      </c>
      <c r="N217">
        <v>23.5</v>
      </c>
      <c r="O217" t="s">
        <v>685</v>
      </c>
      <c r="P217" t="s">
        <v>408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31750.5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10094.200000000001</v>
      </c>
      <c r="AF217">
        <v>0</v>
      </c>
      <c r="AG217">
        <v>0</v>
      </c>
      <c r="AH217">
        <v>0</v>
      </c>
      <c r="AI217" t="s">
        <v>686</v>
      </c>
      <c r="AK217">
        <v>24.051600000000001</v>
      </c>
      <c r="AL217">
        <v>28.775350599999999</v>
      </c>
      <c r="AM217">
        <f t="shared" si="5"/>
        <v>4.7237505999999989</v>
      </c>
      <c r="AN217">
        <v>19.456473863025501</v>
      </c>
      <c r="AO217">
        <v>5.8636363636363598E-2</v>
      </c>
      <c r="AP217" s="19" t="s">
        <v>685</v>
      </c>
    </row>
    <row r="218" spans="2:42" ht="57.75" customHeight="1">
      <c r="B218">
        <f t="shared" si="4"/>
        <v>0</v>
      </c>
      <c r="C218" s="19" t="s">
        <v>687</v>
      </c>
      <c r="D218" t="s">
        <v>688</v>
      </c>
      <c r="E218" s="17">
        <v>57.143000000000001</v>
      </c>
      <c r="F218">
        <v>14</v>
      </c>
      <c r="G218">
        <v>6</v>
      </c>
      <c r="H218">
        <v>0</v>
      </c>
      <c r="I218">
        <v>2</v>
      </c>
      <c r="J218">
        <v>15</v>
      </c>
      <c r="K218">
        <v>641</v>
      </c>
      <c r="L218">
        <v>654</v>
      </c>
      <c r="M218">
        <v>1.2</v>
      </c>
      <c r="N218">
        <v>23.5</v>
      </c>
      <c r="O218" t="s">
        <v>689</v>
      </c>
      <c r="P218" t="s">
        <v>690</v>
      </c>
      <c r="Q218">
        <v>538504</v>
      </c>
      <c r="R218">
        <v>529027</v>
      </c>
      <c r="S218">
        <v>590124</v>
      </c>
      <c r="T218">
        <v>572658</v>
      </c>
      <c r="U218">
        <v>640653</v>
      </c>
      <c r="V218">
        <v>927550</v>
      </c>
      <c r="W218">
        <v>1030000</v>
      </c>
      <c r="X218">
        <v>812036</v>
      </c>
      <c r="Y218">
        <v>1040000</v>
      </c>
      <c r="Z218">
        <v>126202</v>
      </c>
      <c r="AA218">
        <v>291174</v>
      </c>
      <c r="AB218">
        <v>0</v>
      </c>
      <c r="AC218">
        <v>263544</v>
      </c>
      <c r="AD218">
        <v>0</v>
      </c>
      <c r="AE218">
        <v>262890</v>
      </c>
      <c r="AF218">
        <v>499578</v>
      </c>
      <c r="AG218">
        <v>393073</v>
      </c>
      <c r="AH218">
        <v>236715</v>
      </c>
      <c r="AI218" t="s">
        <v>691</v>
      </c>
      <c r="AK218">
        <v>17.490600000000001</v>
      </c>
      <c r="AL218">
        <v>25.869140266666701</v>
      </c>
      <c r="AM218">
        <f t="shared" si="5"/>
        <v>8.3785402666667004</v>
      </c>
      <c r="AN218">
        <v>28.827665442256599</v>
      </c>
      <c r="AO218">
        <v>4.8600000000000003</v>
      </c>
      <c r="AP218" s="19" t="s">
        <v>687</v>
      </c>
    </row>
    <row r="219" spans="2:42" ht="57.75" customHeight="1">
      <c r="B219">
        <f t="shared" si="4"/>
        <v>0</v>
      </c>
      <c r="C219" s="19" t="s">
        <v>692</v>
      </c>
      <c r="D219" t="s">
        <v>693</v>
      </c>
      <c r="E219" s="17">
        <v>54.545000000000002</v>
      </c>
      <c r="F219">
        <v>11</v>
      </c>
      <c r="G219">
        <v>5</v>
      </c>
      <c r="H219">
        <v>0</v>
      </c>
      <c r="I219">
        <v>1</v>
      </c>
      <c r="J219">
        <v>11</v>
      </c>
      <c r="K219">
        <v>48</v>
      </c>
      <c r="L219">
        <v>58</v>
      </c>
      <c r="M219">
        <v>9.3000000000000007</v>
      </c>
      <c r="N219">
        <v>20</v>
      </c>
      <c r="O219" t="s">
        <v>692</v>
      </c>
      <c r="P219" t="s">
        <v>694</v>
      </c>
      <c r="Q219" s="18">
        <v>1810000</v>
      </c>
      <c r="R219" s="18">
        <v>1720000</v>
      </c>
      <c r="S219" s="18">
        <v>1820000</v>
      </c>
      <c r="T219" s="18">
        <v>1840000</v>
      </c>
      <c r="U219" s="18">
        <v>1640000</v>
      </c>
      <c r="V219" s="18">
        <v>1540000</v>
      </c>
      <c r="W219" s="18">
        <v>810884</v>
      </c>
      <c r="X219" s="18">
        <v>757666</v>
      </c>
      <c r="Y219" s="18">
        <v>923581</v>
      </c>
      <c r="Z219" s="18">
        <v>1170000</v>
      </c>
      <c r="AA219" s="18">
        <v>1310000</v>
      </c>
      <c r="AB219" s="18">
        <v>697336</v>
      </c>
      <c r="AC219" s="18">
        <v>1050000</v>
      </c>
      <c r="AD219" s="18">
        <v>1100000</v>
      </c>
      <c r="AE219" s="18">
        <v>833737</v>
      </c>
      <c r="AF219" s="18">
        <v>1080000</v>
      </c>
      <c r="AG219" s="18">
        <v>1270000</v>
      </c>
      <c r="AH219" s="18">
        <v>1150000</v>
      </c>
      <c r="AI219" s="18" t="s">
        <v>695</v>
      </c>
      <c r="AK219">
        <v>16.814800000000002</v>
      </c>
      <c r="AL219">
        <v>16.822893466666699</v>
      </c>
      <c r="AM219">
        <f t="shared" si="5"/>
        <v>8.093466666696969E-3</v>
      </c>
      <c r="AN219">
        <v>29.890505174475798</v>
      </c>
      <c r="AO219">
        <v>31.772727272727199</v>
      </c>
      <c r="AP219" s="19" t="s">
        <v>692</v>
      </c>
    </row>
    <row r="220" spans="2:42" ht="57.75" customHeight="1">
      <c r="B220">
        <f t="shared" si="4"/>
        <v>1</v>
      </c>
      <c r="C220" s="19" t="s">
        <v>696</v>
      </c>
      <c r="D220" t="s">
        <v>693</v>
      </c>
      <c r="E220" s="17">
        <v>78.570999999999998</v>
      </c>
      <c r="F220">
        <v>14</v>
      </c>
      <c r="G220">
        <v>3</v>
      </c>
      <c r="H220">
        <v>0</v>
      </c>
      <c r="I220">
        <v>2</v>
      </c>
      <c r="J220">
        <v>15</v>
      </c>
      <c r="K220">
        <v>66</v>
      </c>
      <c r="L220">
        <v>79</v>
      </c>
      <c r="M220">
        <v>3.5000000000000003E-2</v>
      </c>
      <c r="N220">
        <v>27.3</v>
      </c>
      <c r="O220" t="s">
        <v>697</v>
      </c>
      <c r="P220" t="s">
        <v>698</v>
      </c>
      <c r="Q220" s="18">
        <v>294720</v>
      </c>
      <c r="R220" s="18">
        <v>220944</v>
      </c>
      <c r="S220" s="18">
        <v>238734</v>
      </c>
      <c r="T220" s="18">
        <v>232282</v>
      </c>
      <c r="U220" s="18">
        <v>232222</v>
      </c>
      <c r="V220" s="18">
        <v>195674</v>
      </c>
      <c r="W220" s="18">
        <v>65100.6</v>
      </c>
      <c r="X220" s="18">
        <v>117546</v>
      </c>
      <c r="Y220" s="18">
        <v>77259.8</v>
      </c>
      <c r="Z220" s="18">
        <v>0</v>
      </c>
      <c r="AA220" s="18">
        <v>191506</v>
      </c>
      <c r="AB220" s="18">
        <v>165134</v>
      </c>
      <c r="AC220" s="18">
        <v>0</v>
      </c>
      <c r="AD220" s="18">
        <v>197502</v>
      </c>
      <c r="AE220" s="18">
        <v>0</v>
      </c>
      <c r="AF220" s="18">
        <v>0</v>
      </c>
      <c r="AG220" s="18">
        <v>142963</v>
      </c>
      <c r="AH220" s="18">
        <v>113963</v>
      </c>
      <c r="AI220" s="18" t="s">
        <v>695</v>
      </c>
      <c r="AK220">
        <v>21.0337</v>
      </c>
      <c r="AL220">
        <v>21.930828066666699</v>
      </c>
      <c r="AM220">
        <f t="shared" si="5"/>
        <v>0.8971280666666992</v>
      </c>
      <c r="AN220">
        <v>24.207859241326599</v>
      </c>
      <c r="AO220">
        <v>16.350000000000001</v>
      </c>
      <c r="AP220" s="19" t="s">
        <v>696</v>
      </c>
    </row>
    <row r="221" spans="2:42" ht="57.75" customHeight="1">
      <c r="B221">
        <f t="shared" si="4"/>
        <v>0</v>
      </c>
      <c r="C221" s="19" t="s">
        <v>699</v>
      </c>
      <c r="D221" t="s">
        <v>700</v>
      </c>
      <c r="E221" s="17">
        <v>70.587999999999994</v>
      </c>
      <c r="F221">
        <v>17</v>
      </c>
      <c r="G221">
        <v>5</v>
      </c>
      <c r="H221">
        <v>0</v>
      </c>
      <c r="I221">
        <v>1</v>
      </c>
      <c r="J221">
        <v>17</v>
      </c>
      <c r="K221">
        <v>300</v>
      </c>
      <c r="L221">
        <v>316</v>
      </c>
      <c r="M221">
        <v>3.9E-2</v>
      </c>
      <c r="N221">
        <v>27.3</v>
      </c>
      <c r="O221" t="s">
        <v>699</v>
      </c>
      <c r="P221" t="s">
        <v>701</v>
      </c>
      <c r="Q221">
        <v>285793</v>
      </c>
      <c r="R221">
        <v>0</v>
      </c>
      <c r="S221">
        <v>197754</v>
      </c>
      <c r="T221">
        <v>168996</v>
      </c>
      <c r="U221">
        <v>327034</v>
      </c>
      <c r="V221">
        <v>317289</v>
      </c>
      <c r="W221">
        <v>210237</v>
      </c>
      <c r="X221">
        <v>264542</v>
      </c>
      <c r="Y221">
        <v>203869</v>
      </c>
      <c r="Z221">
        <v>0</v>
      </c>
      <c r="AA221">
        <v>0</v>
      </c>
      <c r="AB221">
        <v>0</v>
      </c>
      <c r="AC221">
        <v>102506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702</v>
      </c>
      <c r="AK221">
        <v>29.421099999999999</v>
      </c>
      <c r="AL221">
        <v>29.398678400000001</v>
      </c>
      <c r="AM221">
        <f t="shared" si="5"/>
        <v>2.242159999999771E-2</v>
      </c>
      <c r="AN221">
        <v>27.619359450101999</v>
      </c>
      <c r="AO221">
        <v>7.2235294117646998</v>
      </c>
      <c r="AP221" s="19" t="s">
        <v>699</v>
      </c>
    </row>
    <row r="222" spans="2:42" ht="57.75" customHeight="1">
      <c r="B222">
        <f t="shared" si="4"/>
        <v>0</v>
      </c>
      <c r="C222" s="19" t="s">
        <v>703</v>
      </c>
      <c r="D222" t="s">
        <v>704</v>
      </c>
      <c r="E222" s="17">
        <v>95.238</v>
      </c>
      <c r="F222">
        <v>21</v>
      </c>
      <c r="G222">
        <v>1</v>
      </c>
      <c r="H222">
        <v>0</v>
      </c>
      <c r="I222">
        <v>1</v>
      </c>
      <c r="J222">
        <v>21</v>
      </c>
      <c r="K222">
        <v>506</v>
      </c>
      <c r="L222">
        <v>526</v>
      </c>
      <c r="M222" s="1">
        <v>9.9899999999999996E-10</v>
      </c>
      <c r="N222">
        <v>49.3</v>
      </c>
      <c r="O222" t="s">
        <v>703</v>
      </c>
      <c r="P222" t="s">
        <v>705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245034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706</v>
      </c>
      <c r="AK222">
        <v>25.061</v>
      </c>
      <c r="AL222">
        <v>25.8659952</v>
      </c>
      <c r="AM222">
        <f t="shared" si="5"/>
        <v>0.80499520000000047</v>
      </c>
      <c r="AN222">
        <v>36.576347260819098</v>
      </c>
      <c r="AO222">
        <v>31.9714285714285</v>
      </c>
      <c r="AP222" s="19" t="s">
        <v>703</v>
      </c>
    </row>
    <row r="223" spans="2:42" ht="57.75" customHeight="1">
      <c r="B223">
        <f t="shared" si="4"/>
        <v>0</v>
      </c>
      <c r="C223" s="19" t="s">
        <v>707</v>
      </c>
      <c r="D223" t="s">
        <v>708</v>
      </c>
      <c r="E223" s="17">
        <v>64.286000000000001</v>
      </c>
      <c r="F223">
        <v>14</v>
      </c>
      <c r="G223">
        <v>5</v>
      </c>
      <c r="H223">
        <v>0</v>
      </c>
      <c r="I223">
        <v>2</v>
      </c>
      <c r="J223">
        <v>15</v>
      </c>
      <c r="K223">
        <v>1211</v>
      </c>
      <c r="L223">
        <v>1224</v>
      </c>
      <c r="M223">
        <v>0.91</v>
      </c>
      <c r="N223">
        <v>23.5</v>
      </c>
      <c r="O223" t="s">
        <v>709</v>
      </c>
      <c r="P223" t="s">
        <v>710</v>
      </c>
      <c r="Q223" s="18">
        <v>272233</v>
      </c>
      <c r="R223" s="18">
        <v>314314</v>
      </c>
      <c r="S223" s="18">
        <v>169283</v>
      </c>
      <c r="T223" s="18">
        <v>552191</v>
      </c>
      <c r="U223" s="18">
        <v>494347</v>
      </c>
      <c r="V223" s="18">
        <v>521351</v>
      </c>
      <c r="W223" s="18">
        <v>651635</v>
      </c>
      <c r="X223" s="18">
        <v>526764</v>
      </c>
      <c r="Y223" s="18">
        <v>773917</v>
      </c>
      <c r="Z223" s="18">
        <v>219744</v>
      </c>
      <c r="AA223" s="18">
        <v>0</v>
      </c>
      <c r="AB223" s="18">
        <v>202681</v>
      </c>
      <c r="AC223" s="18">
        <v>151392</v>
      </c>
      <c r="AD223" s="18">
        <v>126286</v>
      </c>
      <c r="AE223" s="18">
        <v>108813</v>
      </c>
      <c r="AF223" s="18">
        <v>98644</v>
      </c>
      <c r="AG223" s="18">
        <v>328401</v>
      </c>
      <c r="AH223" s="18">
        <v>199844</v>
      </c>
      <c r="AI223" s="18" t="s">
        <v>711</v>
      </c>
      <c r="AK223">
        <v>16.878900000000002</v>
      </c>
      <c r="AL223">
        <v>16.8954311333333</v>
      </c>
      <c r="AM223">
        <f t="shared" si="5"/>
        <v>1.6531133333298698E-2</v>
      </c>
      <c r="AN223">
        <v>31.602566113269699</v>
      </c>
      <c r="AO223">
        <v>26.58</v>
      </c>
      <c r="AP223" s="19" t="s">
        <v>707</v>
      </c>
    </row>
    <row r="224" spans="2:42" ht="57.75" customHeight="1">
      <c r="B224">
        <f t="shared" si="4"/>
        <v>1</v>
      </c>
      <c r="C224" s="19" t="s">
        <v>712</v>
      </c>
      <c r="D224" t="s">
        <v>530</v>
      </c>
      <c r="E224" s="17">
        <v>66.667000000000002</v>
      </c>
      <c r="F224">
        <v>12</v>
      </c>
      <c r="G224">
        <v>4</v>
      </c>
      <c r="H224">
        <v>0</v>
      </c>
      <c r="I224">
        <v>1</v>
      </c>
      <c r="J224">
        <v>12</v>
      </c>
      <c r="K224">
        <v>1103</v>
      </c>
      <c r="L224">
        <v>1114</v>
      </c>
      <c r="M224">
        <v>3.3</v>
      </c>
      <c r="N224">
        <v>21.6</v>
      </c>
      <c r="O224" t="s">
        <v>712</v>
      </c>
      <c r="P224" t="s">
        <v>713</v>
      </c>
      <c r="Q224" s="18">
        <v>2130000</v>
      </c>
      <c r="R224" s="18">
        <v>1580000</v>
      </c>
      <c r="S224" s="18">
        <v>1450000</v>
      </c>
      <c r="T224" s="18">
        <v>1500000</v>
      </c>
      <c r="U224" s="18">
        <v>1640000</v>
      </c>
      <c r="V224" s="18">
        <v>2340000</v>
      </c>
      <c r="W224" s="18">
        <v>2030000</v>
      </c>
      <c r="X224" s="18">
        <v>1650000</v>
      </c>
      <c r="Y224" s="18">
        <v>1890000</v>
      </c>
      <c r="Z224" s="18">
        <v>557952</v>
      </c>
      <c r="AA224" s="18">
        <v>947468</v>
      </c>
      <c r="AB224" s="18">
        <v>802082</v>
      </c>
      <c r="AC224" s="18">
        <v>627751</v>
      </c>
      <c r="AD224" s="18">
        <v>1090000</v>
      </c>
      <c r="AE224" s="18">
        <v>1230000</v>
      </c>
      <c r="AF224" s="18">
        <v>1140000</v>
      </c>
      <c r="AG224" s="18">
        <v>909278</v>
      </c>
      <c r="AH224" s="18">
        <v>1050000</v>
      </c>
      <c r="AI224" s="18" t="s">
        <v>711</v>
      </c>
      <c r="AK224">
        <v>19.503399999999999</v>
      </c>
      <c r="AL224">
        <v>27.516056800000001</v>
      </c>
      <c r="AM224">
        <f t="shared" si="5"/>
        <v>8.012656800000002</v>
      </c>
      <c r="AN224">
        <v>21.997977496595599</v>
      </c>
      <c r="AO224">
        <v>23.25</v>
      </c>
      <c r="AP224" s="10" t="s">
        <v>712</v>
      </c>
    </row>
    <row r="225" spans="1:42" ht="57.75" customHeight="1">
      <c r="B225">
        <f t="shared" si="4"/>
        <v>1</v>
      </c>
      <c r="C225" s="19" t="s">
        <v>714</v>
      </c>
      <c r="D225" t="s">
        <v>530</v>
      </c>
      <c r="E225" s="17">
        <v>69.230999999999995</v>
      </c>
      <c r="F225">
        <v>13</v>
      </c>
      <c r="G225">
        <v>4</v>
      </c>
      <c r="H225">
        <v>0</v>
      </c>
      <c r="I225">
        <v>1</v>
      </c>
      <c r="J225">
        <v>13</v>
      </c>
      <c r="K225">
        <v>1103</v>
      </c>
      <c r="L225">
        <v>1115</v>
      </c>
      <c r="M225">
        <v>1.1000000000000001</v>
      </c>
      <c r="N225">
        <v>23.1</v>
      </c>
      <c r="O225" t="s">
        <v>714</v>
      </c>
      <c r="P225" t="s">
        <v>715</v>
      </c>
      <c r="Q225" s="18">
        <v>0</v>
      </c>
      <c r="R225" s="18">
        <v>2820000</v>
      </c>
      <c r="S225" s="18">
        <v>0</v>
      </c>
      <c r="T225" s="18">
        <v>7020000</v>
      </c>
      <c r="U225" s="18">
        <v>5450000</v>
      </c>
      <c r="V225" s="18">
        <v>5860000</v>
      </c>
      <c r="W225" s="18">
        <v>4080000</v>
      </c>
      <c r="X225" s="18">
        <v>5220000</v>
      </c>
      <c r="Y225" s="18">
        <v>2760000</v>
      </c>
      <c r="Z225" s="18">
        <v>0</v>
      </c>
      <c r="AA225" s="18">
        <v>0</v>
      </c>
      <c r="AB225" s="18">
        <v>0</v>
      </c>
      <c r="AC225" s="18">
        <v>0</v>
      </c>
      <c r="AD225" s="18">
        <v>0</v>
      </c>
      <c r="AE225" s="18">
        <v>0</v>
      </c>
      <c r="AF225" s="18">
        <v>0</v>
      </c>
      <c r="AG225" s="18">
        <v>0</v>
      </c>
      <c r="AH225" s="18">
        <v>0</v>
      </c>
      <c r="AI225" s="18" t="s">
        <v>711</v>
      </c>
      <c r="AK225">
        <v>17.6495</v>
      </c>
      <c r="AL225">
        <v>16.8250581333333</v>
      </c>
      <c r="AM225">
        <f t="shared" si="5"/>
        <v>0.8244418666666995</v>
      </c>
      <c r="AN225">
        <v>16.6429126076128</v>
      </c>
      <c r="AO225">
        <v>5.8461538461538398E-2</v>
      </c>
      <c r="AP225" s="19" t="s">
        <v>714</v>
      </c>
    </row>
    <row r="226" spans="1:42" ht="57.75" customHeight="1">
      <c r="B226">
        <f t="shared" si="4"/>
        <v>0</v>
      </c>
      <c r="C226" s="19" t="s">
        <v>716</v>
      </c>
      <c r="D226" t="s">
        <v>302</v>
      </c>
      <c r="E226" s="17">
        <v>71.429000000000002</v>
      </c>
      <c r="F226">
        <v>21</v>
      </c>
      <c r="G226">
        <v>6</v>
      </c>
      <c r="H226">
        <v>0</v>
      </c>
      <c r="I226">
        <v>2</v>
      </c>
      <c r="J226">
        <v>22</v>
      </c>
      <c r="K226">
        <v>63</v>
      </c>
      <c r="L226">
        <v>83</v>
      </c>
      <c r="M226" s="1">
        <v>1.95E-5</v>
      </c>
      <c r="N226">
        <v>36.6</v>
      </c>
      <c r="O226" t="s">
        <v>717</v>
      </c>
      <c r="P226" t="s">
        <v>718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562482</v>
      </c>
      <c r="AE226" s="6">
        <v>0</v>
      </c>
      <c r="AF226" s="6">
        <v>0</v>
      </c>
      <c r="AG226" s="6">
        <v>0</v>
      </c>
      <c r="AH226" s="6">
        <v>0</v>
      </c>
      <c r="AI226" s="6" t="s">
        <v>719</v>
      </c>
      <c r="AK226">
        <v>25.4437</v>
      </c>
      <c r="AL226">
        <v>28.630833266666698</v>
      </c>
      <c r="AM226">
        <f t="shared" si="5"/>
        <v>3.1871332666666987</v>
      </c>
      <c r="AN226">
        <v>37.284333929866598</v>
      </c>
      <c r="AO226">
        <v>17.147727272727199</v>
      </c>
      <c r="AP226" s="19" t="s">
        <v>716</v>
      </c>
    </row>
    <row r="227" spans="1:42" ht="57.75" customHeight="1">
      <c r="B227">
        <f t="shared" si="4"/>
        <v>1</v>
      </c>
      <c r="C227" s="19" t="s">
        <v>720</v>
      </c>
      <c r="D227" t="s">
        <v>302</v>
      </c>
      <c r="E227" s="17">
        <v>81.817999999999998</v>
      </c>
      <c r="F227">
        <v>11</v>
      </c>
      <c r="G227">
        <v>2</v>
      </c>
      <c r="H227">
        <v>0</v>
      </c>
      <c r="I227">
        <v>1</v>
      </c>
      <c r="J227">
        <v>11</v>
      </c>
      <c r="K227">
        <v>95</v>
      </c>
      <c r="L227">
        <v>105</v>
      </c>
      <c r="M227">
        <v>2</v>
      </c>
      <c r="N227">
        <v>22.3</v>
      </c>
      <c r="O227" t="s">
        <v>720</v>
      </c>
      <c r="P227" t="s">
        <v>721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19778.099999999999</v>
      </c>
      <c r="AA227" s="6">
        <v>0</v>
      </c>
      <c r="AB227" s="6">
        <v>7491.07</v>
      </c>
      <c r="AC227" s="6">
        <v>187796</v>
      </c>
      <c r="AD227" s="6">
        <v>109182</v>
      </c>
      <c r="AE227" s="6">
        <v>206253</v>
      </c>
      <c r="AF227" s="6">
        <v>97959.4</v>
      </c>
      <c r="AG227" s="6">
        <v>26330.6</v>
      </c>
      <c r="AH227" s="6">
        <v>39721.1</v>
      </c>
      <c r="AI227" s="6" t="s">
        <v>719</v>
      </c>
      <c r="AK227">
        <v>17.674800000000001</v>
      </c>
      <c r="AL227">
        <v>27.0309402666667</v>
      </c>
      <c r="AM227">
        <f t="shared" si="5"/>
        <v>9.3561402666666993</v>
      </c>
      <c r="AN227">
        <v>15.6785823512867</v>
      </c>
      <c r="AO227">
        <v>4.5454545454545396</v>
      </c>
      <c r="AP227" s="19" t="s">
        <v>720</v>
      </c>
    </row>
    <row r="228" spans="1:42" ht="57.75" customHeight="1">
      <c r="B228">
        <f t="shared" si="4"/>
        <v>0</v>
      </c>
      <c r="C228" s="19" t="s">
        <v>722</v>
      </c>
      <c r="D228" t="s">
        <v>723</v>
      </c>
      <c r="E228" s="17">
        <v>93.332999999999998</v>
      </c>
      <c r="F228">
        <v>15</v>
      </c>
      <c r="G228">
        <v>1</v>
      </c>
      <c r="H228">
        <v>0</v>
      </c>
      <c r="I228">
        <v>1</v>
      </c>
      <c r="J228">
        <v>15</v>
      </c>
      <c r="K228">
        <v>94</v>
      </c>
      <c r="L228">
        <v>108</v>
      </c>
      <c r="M228">
        <v>4.3999999999999997E-2</v>
      </c>
      <c r="N228">
        <v>27.3</v>
      </c>
      <c r="O228" t="s">
        <v>722</v>
      </c>
      <c r="P228" t="s">
        <v>724</v>
      </c>
      <c r="Q228">
        <v>0</v>
      </c>
      <c r="R228">
        <v>0</v>
      </c>
      <c r="S228">
        <v>20685.5</v>
      </c>
      <c r="T228">
        <v>5272.58</v>
      </c>
      <c r="U228">
        <v>5080.26</v>
      </c>
      <c r="V228">
        <v>16745.5</v>
      </c>
      <c r="W228">
        <v>18146.400000000001</v>
      </c>
      <c r="X228">
        <v>15407.3</v>
      </c>
      <c r="Y228">
        <v>13317.3</v>
      </c>
      <c r="Z228">
        <v>10531.7</v>
      </c>
      <c r="AA228">
        <v>12494.7</v>
      </c>
      <c r="AB228">
        <v>10095.6</v>
      </c>
      <c r="AC228">
        <v>8401.81</v>
      </c>
      <c r="AD228">
        <v>4690.8500000000004</v>
      </c>
      <c r="AE228">
        <v>0</v>
      </c>
      <c r="AF228">
        <v>0</v>
      </c>
      <c r="AG228">
        <v>5444.57</v>
      </c>
      <c r="AH228">
        <v>13100.8</v>
      </c>
      <c r="AI228" t="s">
        <v>725</v>
      </c>
      <c r="AK228">
        <v>8.1376799999999996</v>
      </c>
      <c r="AL228">
        <v>22.3185449333332</v>
      </c>
      <c r="AM228">
        <f t="shared" si="5"/>
        <v>14.180864933333201</v>
      </c>
      <c r="AN228">
        <v>26.996817832609899</v>
      </c>
      <c r="AO228">
        <v>7.12</v>
      </c>
      <c r="AP228" s="19" t="s">
        <v>722</v>
      </c>
    </row>
    <row r="229" spans="1:42" ht="57.75" customHeight="1">
      <c r="B229">
        <f t="shared" si="4"/>
        <v>0</v>
      </c>
      <c r="C229" s="19" t="s">
        <v>726</v>
      </c>
      <c r="D229" t="s">
        <v>727</v>
      </c>
      <c r="E229" s="17">
        <v>90</v>
      </c>
      <c r="F229">
        <v>10</v>
      </c>
      <c r="G229">
        <v>1</v>
      </c>
      <c r="H229">
        <v>0</v>
      </c>
      <c r="I229">
        <v>1</v>
      </c>
      <c r="J229">
        <v>10</v>
      </c>
      <c r="K229">
        <v>1159</v>
      </c>
      <c r="L229">
        <v>1168</v>
      </c>
      <c r="M229">
        <v>3</v>
      </c>
      <c r="N229">
        <v>21.6</v>
      </c>
      <c r="O229" t="s">
        <v>726</v>
      </c>
      <c r="P229" t="s">
        <v>728</v>
      </c>
      <c r="Q229">
        <v>0</v>
      </c>
      <c r="R229">
        <v>0</v>
      </c>
      <c r="S229">
        <v>0</v>
      </c>
      <c r="T229">
        <v>4742.37</v>
      </c>
      <c r="U229">
        <v>0</v>
      </c>
      <c r="V229">
        <v>5906.41</v>
      </c>
      <c r="W229">
        <v>0</v>
      </c>
      <c r="X229">
        <v>8246.6200000000008</v>
      </c>
      <c r="Y229">
        <v>6830.55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729</v>
      </c>
      <c r="AK229">
        <v>23.1325</v>
      </c>
      <c r="AL229">
        <v>16.420672133333301</v>
      </c>
      <c r="AM229">
        <f t="shared" si="5"/>
        <v>6.7118278666666988</v>
      </c>
      <c r="AN229">
        <v>16.331984983889601</v>
      </c>
      <c r="AO229">
        <v>0.83499999999999996</v>
      </c>
      <c r="AP229" s="19" t="s">
        <v>726</v>
      </c>
    </row>
    <row r="230" spans="1:42" ht="57.75" customHeight="1">
      <c r="B230">
        <f t="shared" si="4"/>
        <v>0</v>
      </c>
      <c r="C230" s="19" t="s">
        <v>730</v>
      </c>
      <c r="D230" t="s">
        <v>731</v>
      </c>
      <c r="E230" s="17">
        <v>63.636000000000003</v>
      </c>
      <c r="F230">
        <v>11</v>
      </c>
      <c r="G230">
        <v>4</v>
      </c>
      <c r="H230">
        <v>0</v>
      </c>
      <c r="I230">
        <v>2</v>
      </c>
      <c r="J230">
        <v>12</v>
      </c>
      <c r="K230">
        <v>463</v>
      </c>
      <c r="L230">
        <v>473</v>
      </c>
      <c r="M230">
        <v>8.6</v>
      </c>
      <c r="N230">
        <v>20.8</v>
      </c>
      <c r="O230" t="s">
        <v>732</v>
      </c>
      <c r="P230" t="s">
        <v>733</v>
      </c>
      <c r="Q230">
        <v>0</v>
      </c>
      <c r="R230">
        <v>218305</v>
      </c>
      <c r="S230">
        <v>0</v>
      </c>
      <c r="T230">
        <v>154489</v>
      </c>
      <c r="U230">
        <v>155525</v>
      </c>
      <c r="V230">
        <v>222166</v>
      </c>
      <c r="W230">
        <v>294599</v>
      </c>
      <c r="X230">
        <v>181816</v>
      </c>
      <c r="Y230">
        <v>172018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119346</v>
      </c>
      <c r="AF230">
        <v>0</v>
      </c>
      <c r="AG230">
        <v>0</v>
      </c>
      <c r="AH230">
        <v>0</v>
      </c>
      <c r="AI230" t="s">
        <v>734</v>
      </c>
      <c r="AK230">
        <v>27.245699999999999</v>
      </c>
      <c r="AL230">
        <v>25.062127199999999</v>
      </c>
      <c r="AM230">
        <f t="shared" si="5"/>
        <v>2.1835728000000003</v>
      </c>
      <c r="AN230">
        <v>18.961609828843901</v>
      </c>
      <c r="AO230">
        <v>9.1750000000000007</v>
      </c>
      <c r="AP230" s="19" t="s">
        <v>730</v>
      </c>
    </row>
    <row r="231" spans="1:42" ht="57.75" customHeight="1">
      <c r="B231">
        <f t="shared" si="4"/>
        <v>0</v>
      </c>
      <c r="C231" s="19" t="s">
        <v>735</v>
      </c>
      <c r="D231" t="s">
        <v>736</v>
      </c>
      <c r="E231" s="17">
        <v>57.143000000000001</v>
      </c>
      <c r="F231">
        <v>14</v>
      </c>
      <c r="G231">
        <v>6</v>
      </c>
      <c r="H231">
        <v>0</v>
      </c>
      <c r="I231">
        <v>1</v>
      </c>
      <c r="J231">
        <v>14</v>
      </c>
      <c r="K231">
        <v>1320</v>
      </c>
      <c r="L231">
        <v>1333</v>
      </c>
      <c r="M231">
        <v>2.2000000000000002</v>
      </c>
      <c r="N231">
        <v>22.7</v>
      </c>
      <c r="O231" t="s">
        <v>737</v>
      </c>
      <c r="P231" t="s">
        <v>738</v>
      </c>
      <c r="Q231">
        <v>0</v>
      </c>
      <c r="R231">
        <v>0</v>
      </c>
      <c r="S231">
        <v>132221</v>
      </c>
      <c r="T231">
        <v>257707</v>
      </c>
      <c r="U231">
        <v>261814</v>
      </c>
      <c r="V231">
        <v>281040</v>
      </c>
      <c r="W231">
        <v>136787</v>
      </c>
      <c r="X231">
        <v>176444</v>
      </c>
      <c r="Y231">
        <v>108955</v>
      </c>
      <c r="Z231">
        <v>184238</v>
      </c>
      <c r="AA231">
        <v>109724</v>
      </c>
      <c r="AB231">
        <v>198497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51075.6</v>
      </c>
      <c r="AI231" t="s">
        <v>739</v>
      </c>
      <c r="AK231">
        <v>26.758600000000001</v>
      </c>
      <c r="AL231">
        <v>26.7016204666667</v>
      </c>
      <c r="AM231">
        <f t="shared" si="5"/>
        <v>5.6979533333301191E-2</v>
      </c>
      <c r="AN231">
        <v>27.856172779848301</v>
      </c>
      <c r="AO231">
        <v>4.6315789473684204</v>
      </c>
      <c r="AP231" s="19" t="s">
        <v>735</v>
      </c>
    </row>
    <row r="232" spans="1:42" ht="57.75" customHeight="1">
      <c r="B232">
        <f t="shared" si="4"/>
        <v>0</v>
      </c>
      <c r="C232" s="19" t="s">
        <v>740</v>
      </c>
      <c r="D232" t="s">
        <v>153</v>
      </c>
      <c r="E232" s="17">
        <v>81.817999999999998</v>
      </c>
      <c r="F232">
        <v>11</v>
      </c>
      <c r="G232">
        <v>2</v>
      </c>
      <c r="H232">
        <v>0</v>
      </c>
      <c r="I232">
        <v>1</v>
      </c>
      <c r="J232">
        <v>11</v>
      </c>
      <c r="K232">
        <v>193</v>
      </c>
      <c r="L232">
        <v>203</v>
      </c>
      <c r="M232">
        <v>0.57999999999999996</v>
      </c>
      <c r="N232">
        <v>23.5</v>
      </c>
      <c r="O232" t="s">
        <v>740</v>
      </c>
      <c r="P232" t="s">
        <v>741</v>
      </c>
      <c r="Q232" s="6">
        <v>35565.1</v>
      </c>
      <c r="R232" s="6">
        <v>30879.5</v>
      </c>
      <c r="S232" s="6">
        <v>0</v>
      </c>
      <c r="T232" s="6">
        <v>49483.6</v>
      </c>
      <c r="U232" s="6">
        <v>27650.3</v>
      </c>
      <c r="V232" s="6">
        <v>45543</v>
      </c>
      <c r="W232" s="6">
        <v>42004</v>
      </c>
      <c r="X232" s="6">
        <v>49186.400000000001</v>
      </c>
      <c r="Y232" s="6">
        <v>45237.3</v>
      </c>
      <c r="Z232" s="6">
        <v>29018.3</v>
      </c>
      <c r="AA232" s="6">
        <v>31040.6</v>
      </c>
      <c r="AB232" s="6">
        <v>0</v>
      </c>
      <c r="AC232" s="6">
        <v>52937.599999999999</v>
      </c>
      <c r="AD232" s="6">
        <v>50543.1</v>
      </c>
      <c r="AE232" s="6">
        <v>63919.6</v>
      </c>
      <c r="AF232" s="6">
        <v>40140.6</v>
      </c>
      <c r="AG232" s="6">
        <v>70565</v>
      </c>
      <c r="AH232" s="6">
        <v>77183.600000000006</v>
      </c>
      <c r="AI232" s="6" t="s">
        <v>742</v>
      </c>
      <c r="AK232">
        <v>17.0016</v>
      </c>
      <c r="AL232">
        <v>22.083789733333301</v>
      </c>
      <c r="AM232">
        <f t="shared" si="5"/>
        <v>5.0821897333333013</v>
      </c>
      <c r="AN232">
        <v>23.473931872333601</v>
      </c>
      <c r="AO232">
        <v>17.4545454545454</v>
      </c>
      <c r="AP232" s="19" t="s">
        <v>740</v>
      </c>
    </row>
    <row r="233" spans="1:42" ht="57.75" customHeight="1">
      <c r="B233">
        <f t="shared" ref="B233:B276" si="6">IF(AI233=AI232,1,0)</f>
        <v>1</v>
      </c>
      <c r="C233" s="19" t="s">
        <v>743</v>
      </c>
      <c r="D233" t="s">
        <v>744</v>
      </c>
      <c r="E233" s="17">
        <v>63.636000000000003</v>
      </c>
      <c r="F233">
        <v>11</v>
      </c>
      <c r="G233">
        <v>4</v>
      </c>
      <c r="H233">
        <v>0</v>
      </c>
      <c r="I233">
        <v>1</v>
      </c>
      <c r="J233">
        <v>11</v>
      </c>
      <c r="K233">
        <v>120</v>
      </c>
      <c r="L233">
        <v>130</v>
      </c>
      <c r="M233">
        <v>4</v>
      </c>
      <c r="N233">
        <v>21.2</v>
      </c>
      <c r="O233" t="s">
        <v>743</v>
      </c>
      <c r="P233" t="s">
        <v>745</v>
      </c>
      <c r="Q233" s="6">
        <v>0</v>
      </c>
      <c r="R233" s="6">
        <v>0</v>
      </c>
      <c r="S233" s="6">
        <v>4922.6499999999996</v>
      </c>
      <c r="T233" s="6">
        <v>5818.23</v>
      </c>
      <c r="U233" s="6">
        <v>96877.5</v>
      </c>
      <c r="V233" s="6">
        <v>108448</v>
      </c>
      <c r="W233" s="6">
        <v>242475</v>
      </c>
      <c r="X233" s="6">
        <v>287881</v>
      </c>
      <c r="Y233" s="6">
        <v>266639</v>
      </c>
      <c r="Z233" s="6">
        <v>0</v>
      </c>
      <c r="AA233" s="6">
        <v>0</v>
      </c>
      <c r="AB233" s="6">
        <v>0</v>
      </c>
      <c r="AC233" s="6">
        <v>7179.81</v>
      </c>
      <c r="AD233" s="6">
        <v>0</v>
      </c>
      <c r="AE233" s="6">
        <v>0</v>
      </c>
      <c r="AF233" s="6">
        <v>0</v>
      </c>
      <c r="AG233" s="6">
        <v>0</v>
      </c>
      <c r="AH233" s="6">
        <v>14323.9</v>
      </c>
      <c r="AI233" s="6" t="s">
        <v>742</v>
      </c>
      <c r="AK233">
        <v>10.9062</v>
      </c>
      <c r="AL233">
        <v>11.1800768</v>
      </c>
      <c r="AM233">
        <f t="shared" ref="AM233:AM276" si="7">ABS(AK233-AL233)</f>
        <v>0.27387680000000003</v>
      </c>
      <c r="AN233">
        <v>16.675809881160902</v>
      </c>
      <c r="AO233">
        <v>3.77272727272727E-2</v>
      </c>
      <c r="AP233" s="19" t="s">
        <v>743</v>
      </c>
    </row>
    <row r="234" spans="1:42" ht="57.75" customHeight="1">
      <c r="B234">
        <f t="shared" si="6"/>
        <v>1</v>
      </c>
      <c r="C234" s="19" t="s">
        <v>746</v>
      </c>
      <c r="D234" t="s">
        <v>153</v>
      </c>
      <c r="E234" s="17">
        <v>80</v>
      </c>
      <c r="F234">
        <v>10</v>
      </c>
      <c r="G234">
        <v>2</v>
      </c>
      <c r="H234">
        <v>0</v>
      </c>
      <c r="I234">
        <v>1</v>
      </c>
      <c r="J234">
        <v>10</v>
      </c>
      <c r="K234">
        <v>204</v>
      </c>
      <c r="L234">
        <v>213</v>
      </c>
      <c r="M234">
        <v>0.33</v>
      </c>
      <c r="N234">
        <v>24.3</v>
      </c>
      <c r="O234" t="s">
        <v>746</v>
      </c>
      <c r="P234" t="s">
        <v>747</v>
      </c>
      <c r="Q234">
        <v>0</v>
      </c>
      <c r="R234">
        <v>0</v>
      </c>
      <c r="S234">
        <v>0</v>
      </c>
      <c r="T234">
        <v>4758.41</v>
      </c>
      <c r="U234">
        <v>0</v>
      </c>
      <c r="V234">
        <v>0</v>
      </c>
      <c r="W234">
        <v>0</v>
      </c>
      <c r="X234">
        <v>3208.17</v>
      </c>
      <c r="Y234">
        <v>2568.6799999999998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742</v>
      </c>
      <c r="AK234">
        <v>20.4665</v>
      </c>
      <c r="AL234">
        <v>25.0893311333333</v>
      </c>
      <c r="AM234">
        <f t="shared" si="7"/>
        <v>4.6228311333332996</v>
      </c>
      <c r="AN234">
        <v>15.6456146428106</v>
      </c>
      <c r="AO234">
        <v>0.79500000000000004</v>
      </c>
      <c r="AP234" s="19" t="s">
        <v>746</v>
      </c>
    </row>
    <row r="235" spans="1:42" ht="57.75" customHeight="1">
      <c r="B235">
        <f t="shared" si="6"/>
        <v>0</v>
      </c>
      <c r="C235" s="19" t="s">
        <v>748</v>
      </c>
      <c r="D235" t="s">
        <v>490</v>
      </c>
      <c r="E235" s="17">
        <v>82.608999999999995</v>
      </c>
      <c r="F235">
        <v>23</v>
      </c>
      <c r="G235">
        <v>4</v>
      </c>
      <c r="H235">
        <v>0</v>
      </c>
      <c r="I235">
        <v>1</v>
      </c>
      <c r="J235">
        <v>23</v>
      </c>
      <c r="K235">
        <v>1128</v>
      </c>
      <c r="L235">
        <v>1150</v>
      </c>
      <c r="M235" s="1">
        <v>4.7700000000000001E-6</v>
      </c>
      <c r="N235">
        <v>38.9</v>
      </c>
      <c r="O235" t="s">
        <v>748</v>
      </c>
      <c r="P235" t="s">
        <v>749</v>
      </c>
      <c r="Q235">
        <v>11687.7</v>
      </c>
      <c r="R235">
        <v>15244.9</v>
      </c>
      <c r="S235">
        <v>10472.4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6316.96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750</v>
      </c>
      <c r="AK235">
        <v>28.1249</v>
      </c>
      <c r="AL235">
        <v>25.266380266666701</v>
      </c>
      <c r="AM235">
        <f t="shared" si="7"/>
        <v>2.8585197333332992</v>
      </c>
      <c r="AN235">
        <v>29.960773198575101</v>
      </c>
      <c r="AO235">
        <v>6.2086956521739101</v>
      </c>
      <c r="AP235" s="19" t="s">
        <v>748</v>
      </c>
    </row>
    <row r="236" spans="1:42" ht="57.75" customHeight="1">
      <c r="A236">
        <v>1</v>
      </c>
      <c r="B236">
        <f t="shared" si="6"/>
        <v>0</v>
      </c>
      <c r="C236" s="19" t="s">
        <v>751</v>
      </c>
      <c r="D236" t="s">
        <v>752</v>
      </c>
      <c r="E236" s="17">
        <v>85.713999999999999</v>
      </c>
      <c r="F236">
        <v>21</v>
      </c>
      <c r="G236">
        <v>3</v>
      </c>
      <c r="H236">
        <v>0</v>
      </c>
      <c r="I236">
        <v>1</v>
      </c>
      <c r="J236">
        <v>21</v>
      </c>
      <c r="K236">
        <v>59</v>
      </c>
      <c r="L236">
        <v>79</v>
      </c>
      <c r="M236" s="1">
        <v>6.3600000000000003E-7</v>
      </c>
      <c r="N236">
        <v>40</v>
      </c>
      <c r="O236" t="s">
        <v>751</v>
      </c>
      <c r="P236" t="s">
        <v>753</v>
      </c>
      <c r="Q236" s="6">
        <v>0</v>
      </c>
      <c r="R236" s="6">
        <v>51825.599999999999</v>
      </c>
      <c r="S236" s="6">
        <v>53815.1</v>
      </c>
      <c r="T236" s="6">
        <v>36683.1</v>
      </c>
      <c r="U236" s="6">
        <v>67509.2</v>
      </c>
      <c r="V236" s="6">
        <v>0</v>
      </c>
      <c r="W236" s="6">
        <v>20195.099999999999</v>
      </c>
      <c r="X236" s="6">
        <v>28225.5</v>
      </c>
      <c r="Y236" s="6">
        <v>0</v>
      </c>
      <c r="Z236" s="6">
        <v>0</v>
      </c>
      <c r="AA236" s="6">
        <v>21490.799999999999</v>
      </c>
      <c r="AB236" s="6">
        <v>15304.6</v>
      </c>
      <c r="AC236" s="6">
        <v>34965.599999999999</v>
      </c>
      <c r="AD236" s="6">
        <v>147329</v>
      </c>
      <c r="AE236" s="6">
        <v>74620.100000000006</v>
      </c>
      <c r="AF236" s="6">
        <v>81414.8</v>
      </c>
      <c r="AG236" s="6">
        <v>82155</v>
      </c>
      <c r="AH236" s="6">
        <v>0</v>
      </c>
      <c r="AI236" s="6" t="s">
        <v>754</v>
      </c>
      <c r="AK236">
        <v>18.848500000000001</v>
      </c>
      <c r="AL236">
        <v>28.263739333333302</v>
      </c>
      <c r="AM236">
        <f t="shared" si="7"/>
        <v>9.4152393333333002</v>
      </c>
      <c r="AN236">
        <v>34.886827344838203</v>
      </c>
      <c r="AO236">
        <v>18.107142857142801</v>
      </c>
      <c r="AP236" s="19" t="s">
        <v>751</v>
      </c>
    </row>
    <row r="237" spans="1:42" ht="57.75" customHeight="1">
      <c r="B237">
        <f t="shared" si="6"/>
        <v>1</v>
      </c>
      <c r="C237" s="19" t="s">
        <v>755</v>
      </c>
      <c r="D237" t="s">
        <v>475</v>
      </c>
      <c r="E237" s="17">
        <v>92.308000000000007</v>
      </c>
      <c r="F237">
        <v>13</v>
      </c>
      <c r="G237">
        <v>1</v>
      </c>
      <c r="H237">
        <v>0</v>
      </c>
      <c r="I237">
        <v>1</v>
      </c>
      <c r="J237">
        <v>13</v>
      </c>
      <c r="K237">
        <v>67</v>
      </c>
      <c r="L237">
        <v>79</v>
      </c>
      <c r="M237">
        <v>3.7999999999999999E-2</v>
      </c>
      <c r="N237">
        <v>27.3</v>
      </c>
      <c r="O237" t="s">
        <v>755</v>
      </c>
      <c r="P237" t="s">
        <v>756</v>
      </c>
      <c r="Q237" s="6">
        <v>152107</v>
      </c>
      <c r="R237" s="6">
        <v>128284</v>
      </c>
      <c r="S237" s="6">
        <v>102071</v>
      </c>
      <c r="T237" s="6">
        <v>82168.800000000003</v>
      </c>
      <c r="U237" s="6">
        <v>314562</v>
      </c>
      <c r="V237" s="6">
        <v>85071.9</v>
      </c>
      <c r="W237" s="6">
        <v>68518.8</v>
      </c>
      <c r="X237" s="6">
        <v>85772.7</v>
      </c>
      <c r="Y237" s="6">
        <v>35322.699999999997</v>
      </c>
      <c r="Z237" s="6">
        <v>87779.5</v>
      </c>
      <c r="AA237" s="6">
        <v>74269.8</v>
      </c>
      <c r="AB237" s="6">
        <v>70986.399999999994</v>
      </c>
      <c r="AC237" s="6">
        <v>108454</v>
      </c>
      <c r="AD237" s="6">
        <v>523265</v>
      </c>
      <c r="AE237" s="6">
        <v>129842</v>
      </c>
      <c r="AF237" s="6">
        <v>222908</v>
      </c>
      <c r="AG237" s="6">
        <v>127943</v>
      </c>
      <c r="AH237" s="6">
        <v>118504</v>
      </c>
      <c r="AI237" s="6" t="s">
        <v>754</v>
      </c>
      <c r="AK237">
        <v>14.835000000000001</v>
      </c>
      <c r="AL237">
        <v>23.2592197333333</v>
      </c>
      <c r="AM237">
        <f t="shared" si="7"/>
        <v>8.4242197333332989</v>
      </c>
      <c r="AN237">
        <v>18.5241310258982</v>
      </c>
      <c r="AO237">
        <v>6.8307692307692296</v>
      </c>
      <c r="AP237" s="19" t="s">
        <v>755</v>
      </c>
    </row>
    <row r="238" spans="1:42" ht="57.75" customHeight="1">
      <c r="B238">
        <f t="shared" si="6"/>
        <v>0</v>
      </c>
      <c r="C238" s="19" t="s">
        <v>757</v>
      </c>
      <c r="D238" t="s">
        <v>758</v>
      </c>
      <c r="E238" s="17">
        <v>77.778000000000006</v>
      </c>
      <c r="F238">
        <v>9</v>
      </c>
      <c r="G238">
        <v>2</v>
      </c>
      <c r="H238">
        <v>0</v>
      </c>
      <c r="I238">
        <v>1</v>
      </c>
      <c r="J238">
        <v>9</v>
      </c>
      <c r="K238">
        <v>1169</v>
      </c>
      <c r="L238">
        <v>1177</v>
      </c>
      <c r="M238">
        <v>1.9</v>
      </c>
      <c r="N238">
        <v>22.3</v>
      </c>
      <c r="O238" t="s">
        <v>759</v>
      </c>
      <c r="P238" t="s">
        <v>760</v>
      </c>
      <c r="Q238">
        <v>0</v>
      </c>
      <c r="R238">
        <v>0</v>
      </c>
      <c r="S238">
        <v>0</v>
      </c>
      <c r="T238">
        <v>114438</v>
      </c>
      <c r="U238">
        <v>94601</v>
      </c>
      <c r="V238">
        <v>95655.5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1450000</v>
      </c>
      <c r="AD238">
        <v>938945</v>
      </c>
      <c r="AE238">
        <v>0</v>
      </c>
      <c r="AF238">
        <v>0</v>
      </c>
      <c r="AG238">
        <v>0</v>
      </c>
      <c r="AH238">
        <v>0</v>
      </c>
      <c r="AI238" t="s">
        <v>761</v>
      </c>
      <c r="AK238">
        <v>9.5995799999999996</v>
      </c>
      <c r="AL238">
        <v>29.534903199999999</v>
      </c>
      <c r="AM238">
        <f t="shared" si="7"/>
        <v>19.935323199999999</v>
      </c>
      <c r="AN238">
        <v>17.2503479442775</v>
      </c>
      <c r="AO238">
        <v>3.9666666666666601</v>
      </c>
      <c r="AP238" s="19" t="s">
        <v>757</v>
      </c>
    </row>
    <row r="239" spans="1:42" ht="57.75" customHeight="1">
      <c r="B239">
        <f t="shared" si="6"/>
        <v>0</v>
      </c>
      <c r="C239" s="19" t="s">
        <v>762</v>
      </c>
      <c r="D239" t="s">
        <v>763</v>
      </c>
      <c r="E239" s="17">
        <v>50</v>
      </c>
      <c r="F239">
        <v>16</v>
      </c>
      <c r="G239">
        <v>8</v>
      </c>
      <c r="H239">
        <v>0</v>
      </c>
      <c r="I239">
        <v>3</v>
      </c>
      <c r="J239">
        <v>18</v>
      </c>
      <c r="K239">
        <v>1535</v>
      </c>
      <c r="L239">
        <v>1550</v>
      </c>
      <c r="M239">
        <v>1.1000000000000001</v>
      </c>
      <c r="N239">
        <v>23.9</v>
      </c>
      <c r="O239" t="s">
        <v>764</v>
      </c>
      <c r="P239" t="s">
        <v>765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148059</v>
      </c>
      <c r="W239">
        <v>2411.6999999999998</v>
      </c>
      <c r="X239">
        <v>71456.600000000006</v>
      </c>
      <c r="Y239">
        <v>57775.5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766</v>
      </c>
      <c r="AK239">
        <v>14.4321</v>
      </c>
      <c r="AL239">
        <v>27.9398172</v>
      </c>
      <c r="AM239">
        <f t="shared" si="7"/>
        <v>13.5077172</v>
      </c>
      <c r="AN239">
        <v>36.588754469375601</v>
      </c>
      <c r="AO239">
        <v>13.78125</v>
      </c>
      <c r="AP239" s="19" t="s">
        <v>762</v>
      </c>
    </row>
    <row r="240" spans="1:42" ht="57.75" customHeight="1">
      <c r="B240">
        <f t="shared" si="6"/>
        <v>0</v>
      </c>
      <c r="C240" s="19" t="s">
        <v>767</v>
      </c>
      <c r="D240" t="s">
        <v>490</v>
      </c>
      <c r="E240" s="17">
        <v>77.778000000000006</v>
      </c>
      <c r="F240">
        <v>9</v>
      </c>
      <c r="G240">
        <v>2</v>
      </c>
      <c r="H240">
        <v>0</v>
      </c>
      <c r="I240">
        <v>1</v>
      </c>
      <c r="J240">
        <v>9</v>
      </c>
      <c r="K240">
        <v>1162</v>
      </c>
      <c r="L240">
        <v>1170</v>
      </c>
      <c r="M240">
        <v>3</v>
      </c>
      <c r="N240">
        <v>21.9</v>
      </c>
      <c r="O240" t="s">
        <v>768</v>
      </c>
      <c r="P240" t="s">
        <v>769</v>
      </c>
      <c r="Q240">
        <v>383000000</v>
      </c>
      <c r="R240">
        <v>294000000</v>
      </c>
      <c r="S240">
        <v>260000000</v>
      </c>
      <c r="T240">
        <v>13000000</v>
      </c>
      <c r="U240">
        <v>27800000</v>
      </c>
      <c r="V240">
        <v>21100000</v>
      </c>
      <c r="W240">
        <v>4380000</v>
      </c>
      <c r="X240">
        <v>5320000</v>
      </c>
      <c r="Y240">
        <v>2750000</v>
      </c>
      <c r="Z240">
        <v>32700000</v>
      </c>
      <c r="AA240">
        <v>31500000</v>
      </c>
      <c r="AB240">
        <v>30500000</v>
      </c>
      <c r="AC240">
        <v>13400000</v>
      </c>
      <c r="AD240">
        <v>16200000</v>
      </c>
      <c r="AE240">
        <v>16300000</v>
      </c>
      <c r="AF240">
        <v>1850000</v>
      </c>
      <c r="AG240">
        <v>2370000</v>
      </c>
      <c r="AH240">
        <v>2800000</v>
      </c>
      <c r="AI240" t="s">
        <v>770</v>
      </c>
      <c r="AK240">
        <v>16.492599999999999</v>
      </c>
      <c r="AL240">
        <v>16.517002933333298</v>
      </c>
      <c r="AM240">
        <f t="shared" si="7"/>
        <v>2.4402933333298904E-2</v>
      </c>
      <c r="AN240">
        <v>42.142218985611798</v>
      </c>
      <c r="AO240">
        <v>47.769230769230703</v>
      </c>
      <c r="AP240" s="19" t="s">
        <v>767</v>
      </c>
    </row>
    <row r="241" spans="2:42" ht="57.75" customHeight="1">
      <c r="B241">
        <f t="shared" si="6"/>
        <v>0</v>
      </c>
      <c r="C241" s="19" t="s">
        <v>771</v>
      </c>
      <c r="D241" t="s">
        <v>490</v>
      </c>
      <c r="E241" s="17">
        <v>88.888999999999996</v>
      </c>
      <c r="F241">
        <v>9</v>
      </c>
      <c r="G241">
        <v>1</v>
      </c>
      <c r="H241">
        <v>0</v>
      </c>
      <c r="I241">
        <v>1</v>
      </c>
      <c r="J241">
        <v>9</v>
      </c>
      <c r="K241">
        <v>405</v>
      </c>
      <c r="L241">
        <v>413</v>
      </c>
      <c r="M241">
        <v>1.9</v>
      </c>
      <c r="N241">
        <v>21.9</v>
      </c>
      <c r="O241" t="s">
        <v>771</v>
      </c>
      <c r="P241" t="s">
        <v>772</v>
      </c>
      <c r="Q241">
        <v>120000000</v>
      </c>
      <c r="R241">
        <v>122000000</v>
      </c>
      <c r="S241">
        <v>92500000</v>
      </c>
      <c r="T241">
        <v>53400000</v>
      </c>
      <c r="U241">
        <v>64600000</v>
      </c>
      <c r="V241">
        <v>48400000</v>
      </c>
      <c r="W241">
        <v>8820000</v>
      </c>
      <c r="X241">
        <v>9310000</v>
      </c>
      <c r="Y241">
        <v>8310000</v>
      </c>
      <c r="Z241">
        <v>276000000</v>
      </c>
      <c r="AA241">
        <v>216000000</v>
      </c>
      <c r="AB241">
        <v>246000000</v>
      </c>
      <c r="AC241">
        <v>210000000</v>
      </c>
      <c r="AD241">
        <v>236000000</v>
      </c>
      <c r="AE241">
        <v>225000000</v>
      </c>
      <c r="AF241">
        <v>148000000</v>
      </c>
      <c r="AG241">
        <v>123000000</v>
      </c>
      <c r="AH241">
        <v>147000000</v>
      </c>
      <c r="AI241" t="s">
        <v>773</v>
      </c>
      <c r="AK241">
        <v>10.5947</v>
      </c>
      <c r="AL241">
        <v>10.4743844</v>
      </c>
      <c r="AM241">
        <f t="shared" si="7"/>
        <v>0.12031559999999963</v>
      </c>
      <c r="AN241">
        <v>25.323551467907201</v>
      </c>
      <c r="AO241">
        <v>28.5</v>
      </c>
      <c r="AP241" s="19" t="s">
        <v>771</v>
      </c>
    </row>
    <row r="242" spans="2:42" ht="57.75" customHeight="1">
      <c r="B242">
        <f t="shared" si="6"/>
        <v>0</v>
      </c>
      <c r="C242" s="19" t="s">
        <v>774</v>
      </c>
      <c r="D242" t="s">
        <v>775</v>
      </c>
      <c r="E242" s="17">
        <v>63.636000000000003</v>
      </c>
      <c r="F242">
        <v>11</v>
      </c>
      <c r="G242">
        <v>4</v>
      </c>
      <c r="H242">
        <v>0</v>
      </c>
      <c r="I242">
        <v>2</v>
      </c>
      <c r="J242">
        <v>12</v>
      </c>
      <c r="K242">
        <v>819</v>
      </c>
      <c r="L242">
        <v>829</v>
      </c>
      <c r="M242">
        <v>7.2</v>
      </c>
      <c r="N242">
        <v>20.8</v>
      </c>
      <c r="O242" t="s">
        <v>776</v>
      </c>
      <c r="P242" t="s">
        <v>777</v>
      </c>
      <c r="Q242">
        <v>8414.92</v>
      </c>
      <c r="R242">
        <v>6882.87</v>
      </c>
      <c r="S242">
        <v>0</v>
      </c>
      <c r="T242">
        <v>11050.9</v>
      </c>
      <c r="U242">
        <v>15421.1</v>
      </c>
      <c r="V242">
        <v>16578.400000000001</v>
      </c>
      <c r="W242">
        <v>12664.5</v>
      </c>
      <c r="X242">
        <v>11254.5</v>
      </c>
      <c r="Y242">
        <v>8848.2199999999993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 t="s">
        <v>778</v>
      </c>
      <c r="AK242">
        <v>17.2042</v>
      </c>
      <c r="AL242">
        <v>28.891102866666699</v>
      </c>
      <c r="AM242">
        <f t="shared" si="7"/>
        <v>11.686902866666699</v>
      </c>
      <c r="AN242">
        <v>17.221943780582102</v>
      </c>
      <c r="AO242">
        <v>17.0625</v>
      </c>
      <c r="AP242" s="19" t="s">
        <v>774</v>
      </c>
    </row>
    <row r="243" spans="2:42" ht="57.75" customHeight="1">
      <c r="B243">
        <f t="shared" si="6"/>
        <v>0</v>
      </c>
      <c r="C243" s="19" t="s">
        <v>779</v>
      </c>
      <c r="D243" t="s">
        <v>104</v>
      </c>
      <c r="E243" s="17">
        <v>53.332999999999998</v>
      </c>
      <c r="F243">
        <v>15</v>
      </c>
      <c r="G243">
        <v>7</v>
      </c>
      <c r="H243">
        <v>0</v>
      </c>
      <c r="I243">
        <v>1</v>
      </c>
      <c r="J243">
        <v>15</v>
      </c>
      <c r="K243">
        <v>112</v>
      </c>
      <c r="L243">
        <v>126</v>
      </c>
      <c r="M243">
        <v>2.9</v>
      </c>
      <c r="N243">
        <v>22.3</v>
      </c>
      <c r="O243" t="s">
        <v>780</v>
      </c>
      <c r="P243" t="s">
        <v>781</v>
      </c>
      <c r="Q243">
        <v>0</v>
      </c>
      <c r="R243">
        <v>0</v>
      </c>
      <c r="S243">
        <v>0</v>
      </c>
      <c r="T243">
        <v>0</v>
      </c>
      <c r="U243">
        <v>593078</v>
      </c>
      <c r="V243">
        <v>0</v>
      </c>
      <c r="W243">
        <v>1730000</v>
      </c>
      <c r="X243">
        <v>0</v>
      </c>
      <c r="Y243">
        <v>5300000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782</v>
      </c>
      <c r="AK243">
        <v>17.186399999999999</v>
      </c>
      <c r="AL243">
        <v>30.833447733333301</v>
      </c>
      <c r="AM243">
        <f t="shared" si="7"/>
        <v>13.647047733333302</v>
      </c>
      <c r="AN243">
        <v>21.499551848851802</v>
      </c>
      <c r="AO243">
        <v>13.625</v>
      </c>
      <c r="AP243" s="10" t="s">
        <v>779</v>
      </c>
    </row>
    <row r="244" spans="2:42" ht="57.75" customHeight="1">
      <c r="B244">
        <f t="shared" si="6"/>
        <v>0</v>
      </c>
      <c r="C244" s="19" t="s">
        <v>783</v>
      </c>
      <c r="D244" t="s">
        <v>784</v>
      </c>
      <c r="E244" s="17">
        <v>47.058999999999997</v>
      </c>
      <c r="F244">
        <v>17</v>
      </c>
      <c r="G244">
        <v>9</v>
      </c>
      <c r="H244">
        <v>0</v>
      </c>
      <c r="I244">
        <v>1</v>
      </c>
      <c r="J244">
        <v>17</v>
      </c>
      <c r="K244">
        <v>775</v>
      </c>
      <c r="L244">
        <v>791</v>
      </c>
      <c r="M244">
        <v>3.6</v>
      </c>
      <c r="N244">
        <v>21.9</v>
      </c>
      <c r="O244" t="s">
        <v>785</v>
      </c>
      <c r="P244" t="s">
        <v>786</v>
      </c>
      <c r="Q244">
        <v>56193.8</v>
      </c>
      <c r="R244">
        <v>0</v>
      </c>
      <c r="S244">
        <v>0</v>
      </c>
      <c r="T244">
        <v>56370</v>
      </c>
      <c r="U244">
        <v>0</v>
      </c>
      <c r="V244">
        <v>76481.100000000006</v>
      </c>
      <c r="W244">
        <v>131970</v>
      </c>
      <c r="X244">
        <v>93650.9</v>
      </c>
      <c r="Y244">
        <v>73095.5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69283.7</v>
      </c>
      <c r="AG244">
        <v>75184.600000000006</v>
      </c>
      <c r="AH244">
        <v>0</v>
      </c>
      <c r="AI244" t="s">
        <v>787</v>
      </c>
      <c r="AK244">
        <v>25.610900000000001</v>
      </c>
      <c r="AL244">
        <v>25.567316533333301</v>
      </c>
      <c r="AM244">
        <f t="shared" si="7"/>
        <v>4.3583466666699877E-2</v>
      </c>
      <c r="AN244">
        <v>27.677111124499302</v>
      </c>
      <c r="AO244">
        <v>13.5833333333333</v>
      </c>
      <c r="AP244" s="19" t="s">
        <v>783</v>
      </c>
    </row>
    <row r="245" spans="2:42" ht="57.75" customHeight="1">
      <c r="B245">
        <f t="shared" si="6"/>
        <v>0</v>
      </c>
      <c r="C245" s="19" t="s">
        <v>788</v>
      </c>
      <c r="D245" t="s">
        <v>789</v>
      </c>
      <c r="E245" s="17">
        <v>96.296000000000006</v>
      </c>
      <c r="F245">
        <v>27</v>
      </c>
      <c r="G245">
        <v>1</v>
      </c>
      <c r="H245">
        <v>0</v>
      </c>
      <c r="I245">
        <v>1</v>
      </c>
      <c r="J245">
        <v>27</v>
      </c>
      <c r="K245">
        <v>92</v>
      </c>
      <c r="L245">
        <v>118</v>
      </c>
      <c r="M245" s="1">
        <v>2.9200000000000002E-13</v>
      </c>
      <c r="N245">
        <v>57.8</v>
      </c>
      <c r="O245" t="s">
        <v>788</v>
      </c>
      <c r="P245" t="s">
        <v>790</v>
      </c>
      <c r="Q245">
        <v>111491</v>
      </c>
      <c r="R245">
        <v>3290.6</v>
      </c>
      <c r="S245">
        <v>0</v>
      </c>
      <c r="T245">
        <v>0</v>
      </c>
      <c r="U245">
        <v>0</v>
      </c>
      <c r="V245">
        <v>90684</v>
      </c>
      <c r="W245">
        <v>127349</v>
      </c>
      <c r="X245">
        <v>0</v>
      </c>
      <c r="Y245">
        <v>0</v>
      </c>
      <c r="Z245">
        <v>2298.48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 t="s">
        <v>791</v>
      </c>
      <c r="AK245">
        <v>24.609400000000001</v>
      </c>
      <c r="AL245">
        <v>28.3432711333333</v>
      </c>
      <c r="AM245">
        <f t="shared" si="7"/>
        <v>3.7338711333332988</v>
      </c>
      <c r="AN245">
        <v>45.034731841407798</v>
      </c>
      <c r="AO245">
        <v>4.93333333333333</v>
      </c>
      <c r="AP245" s="19" t="s">
        <v>788</v>
      </c>
    </row>
    <row r="246" spans="2:42" ht="57.75" customHeight="1">
      <c r="B246">
        <f t="shared" si="6"/>
        <v>0</v>
      </c>
      <c r="C246" s="19" t="s">
        <v>792</v>
      </c>
      <c r="D246" t="s">
        <v>793</v>
      </c>
      <c r="E246" s="17">
        <v>68.75</v>
      </c>
      <c r="F246">
        <v>16</v>
      </c>
      <c r="G246">
        <v>5</v>
      </c>
      <c r="H246">
        <v>0</v>
      </c>
      <c r="I246">
        <v>1</v>
      </c>
      <c r="J246">
        <v>16</v>
      </c>
      <c r="K246">
        <v>50</v>
      </c>
      <c r="L246">
        <v>65</v>
      </c>
      <c r="M246">
        <v>4.8000000000000001E-2</v>
      </c>
      <c r="N246">
        <v>26.9</v>
      </c>
      <c r="O246" t="s">
        <v>792</v>
      </c>
      <c r="P246" t="s">
        <v>794</v>
      </c>
      <c r="Q246" s="6">
        <v>32796.400000000001</v>
      </c>
      <c r="R246" s="6">
        <v>41896.9</v>
      </c>
      <c r="S246" s="6">
        <v>42280.7</v>
      </c>
      <c r="T246" s="6">
        <v>15258.9</v>
      </c>
      <c r="U246" s="6">
        <v>35274.300000000003</v>
      </c>
      <c r="V246" s="6">
        <v>20658.3</v>
      </c>
      <c r="W246" s="6">
        <v>25427.8</v>
      </c>
      <c r="X246" s="6">
        <v>25914.7</v>
      </c>
      <c r="Y246" s="6">
        <v>12403.9</v>
      </c>
      <c r="Z246" s="6">
        <v>18494.8</v>
      </c>
      <c r="AA246" s="6">
        <v>26131.599999999999</v>
      </c>
      <c r="AB246" s="6">
        <v>34871</v>
      </c>
      <c r="AC246" s="6">
        <v>45763.1</v>
      </c>
      <c r="AD246" s="6">
        <v>145090</v>
      </c>
      <c r="AE246" s="6">
        <v>55739.5</v>
      </c>
      <c r="AF246" s="6">
        <v>45162</v>
      </c>
      <c r="AG246" s="6">
        <v>55317.4</v>
      </c>
      <c r="AH246" s="6">
        <v>57018.1</v>
      </c>
      <c r="AI246" s="6" t="s">
        <v>795</v>
      </c>
      <c r="AK246">
        <v>20.293700000000001</v>
      </c>
      <c r="AL246">
        <v>31.945571933333301</v>
      </c>
      <c r="AM246">
        <f t="shared" si="7"/>
        <v>11.6518719333333</v>
      </c>
      <c r="AN246">
        <v>19.112745843631501</v>
      </c>
      <c r="AO246">
        <v>4.875</v>
      </c>
      <c r="AP246" s="19" t="s">
        <v>792</v>
      </c>
    </row>
    <row r="247" spans="2:42" ht="57.75" customHeight="1">
      <c r="B247">
        <f t="shared" si="6"/>
        <v>1</v>
      </c>
      <c r="C247" s="19" t="s">
        <v>796</v>
      </c>
      <c r="D247" t="s">
        <v>797</v>
      </c>
      <c r="E247" s="17">
        <v>87.5</v>
      </c>
      <c r="F247">
        <v>8</v>
      </c>
      <c r="G247">
        <v>1</v>
      </c>
      <c r="H247">
        <v>0</v>
      </c>
      <c r="I247">
        <v>1</v>
      </c>
      <c r="J247">
        <v>8</v>
      </c>
      <c r="K247">
        <v>52</v>
      </c>
      <c r="L247">
        <v>59</v>
      </c>
      <c r="M247">
        <v>6.5</v>
      </c>
      <c r="N247">
        <v>20.399999999999999</v>
      </c>
      <c r="O247" t="s">
        <v>796</v>
      </c>
      <c r="P247" t="s">
        <v>798</v>
      </c>
      <c r="Q247" s="6">
        <v>66167.8</v>
      </c>
      <c r="R247" s="6">
        <v>0</v>
      </c>
      <c r="S247" s="6">
        <v>75334.100000000006</v>
      </c>
      <c r="T247" s="6">
        <v>0</v>
      </c>
      <c r="U247" s="6">
        <v>138145</v>
      </c>
      <c r="V247" s="6">
        <v>39542.1</v>
      </c>
      <c r="W247" s="6">
        <v>17959.8</v>
      </c>
      <c r="X247" s="6">
        <v>98811.9</v>
      </c>
      <c r="Y247" s="6">
        <v>37693.5</v>
      </c>
      <c r="Z247" s="6">
        <v>66173.7</v>
      </c>
      <c r="AA247" s="6">
        <v>47271.5</v>
      </c>
      <c r="AB247" s="6">
        <v>110383</v>
      </c>
      <c r="AC247" s="6">
        <v>82118.7</v>
      </c>
      <c r="AD247" s="6">
        <v>304448</v>
      </c>
      <c r="AE247" s="6">
        <v>140581</v>
      </c>
      <c r="AF247" s="6">
        <v>323454</v>
      </c>
      <c r="AG247" s="6">
        <v>158762</v>
      </c>
      <c r="AH247" s="6">
        <v>162798</v>
      </c>
      <c r="AI247" s="6" t="s">
        <v>795</v>
      </c>
      <c r="AK247">
        <v>16.1112</v>
      </c>
      <c r="AL247">
        <v>16.2753527333333</v>
      </c>
      <c r="AM247">
        <f t="shared" si="7"/>
        <v>0.16415273333329949</v>
      </c>
      <c r="AN247">
        <v>14.9657399019185</v>
      </c>
      <c r="AO247">
        <v>1.29375</v>
      </c>
      <c r="AP247" s="19" t="s">
        <v>796</v>
      </c>
    </row>
    <row r="248" spans="2:42" ht="57.75" customHeight="1">
      <c r="B248">
        <f t="shared" si="6"/>
        <v>0</v>
      </c>
      <c r="C248" s="19" t="s">
        <v>799</v>
      </c>
      <c r="D248" t="s">
        <v>800</v>
      </c>
      <c r="E248" s="17">
        <v>87.5</v>
      </c>
      <c r="F248">
        <v>16</v>
      </c>
      <c r="G248">
        <v>2</v>
      </c>
      <c r="H248">
        <v>0</v>
      </c>
      <c r="I248">
        <v>1</v>
      </c>
      <c r="J248">
        <v>16</v>
      </c>
      <c r="K248">
        <v>101</v>
      </c>
      <c r="L248">
        <v>116</v>
      </c>
      <c r="M248" s="1">
        <v>1.9400000000000001E-5</v>
      </c>
      <c r="N248">
        <v>36.200000000000003</v>
      </c>
      <c r="O248" t="s">
        <v>799</v>
      </c>
      <c r="P248" t="s">
        <v>801</v>
      </c>
      <c r="Q248">
        <v>0</v>
      </c>
      <c r="R248">
        <v>0</v>
      </c>
      <c r="S248">
        <v>0</v>
      </c>
      <c r="T248">
        <v>0</v>
      </c>
      <c r="U248">
        <v>1788.17</v>
      </c>
      <c r="V248">
        <v>991.25900000000001</v>
      </c>
      <c r="W248">
        <v>0</v>
      </c>
      <c r="X248">
        <v>2091.85</v>
      </c>
      <c r="Y248">
        <v>822.25900000000001</v>
      </c>
      <c r="Z248">
        <v>0</v>
      </c>
      <c r="AA248">
        <v>4907.45</v>
      </c>
      <c r="AB248">
        <v>6006.17</v>
      </c>
      <c r="AC248">
        <v>2140.1799999999998</v>
      </c>
      <c r="AD248">
        <v>13183.9</v>
      </c>
      <c r="AE248">
        <v>1936.74</v>
      </c>
      <c r="AF248">
        <v>7642.78</v>
      </c>
      <c r="AG248">
        <v>7953.27</v>
      </c>
      <c r="AH248">
        <v>5496.44</v>
      </c>
      <c r="AI248" t="s">
        <v>802</v>
      </c>
      <c r="AK248">
        <v>17.3157</v>
      </c>
      <c r="AL248">
        <v>11.5030424</v>
      </c>
      <c r="AM248">
        <f t="shared" si="7"/>
        <v>5.8126575999999996</v>
      </c>
      <c r="AN248">
        <v>25.879194345625098</v>
      </c>
      <c r="AO248">
        <v>7.85</v>
      </c>
      <c r="AP248" s="19" t="s">
        <v>799</v>
      </c>
    </row>
    <row r="249" spans="2:42" ht="57.75" customHeight="1">
      <c r="B249">
        <f t="shared" si="6"/>
        <v>0</v>
      </c>
      <c r="C249" s="19" t="s">
        <v>803</v>
      </c>
      <c r="D249" t="s">
        <v>804</v>
      </c>
      <c r="E249" s="17">
        <v>45.832999999999998</v>
      </c>
      <c r="F249">
        <v>24</v>
      </c>
      <c r="G249">
        <v>13</v>
      </c>
      <c r="H249">
        <v>0</v>
      </c>
      <c r="I249">
        <v>1</v>
      </c>
      <c r="J249">
        <v>24</v>
      </c>
      <c r="K249">
        <v>786</v>
      </c>
      <c r="L249">
        <v>809</v>
      </c>
      <c r="M249">
        <v>0.28999999999999998</v>
      </c>
      <c r="N249">
        <v>25.4</v>
      </c>
      <c r="O249" t="s">
        <v>805</v>
      </c>
      <c r="P249" t="s">
        <v>806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2030.86</v>
      </c>
      <c r="Z249">
        <v>730.72400000000005</v>
      </c>
      <c r="AA249">
        <v>0</v>
      </c>
      <c r="AB249">
        <v>0</v>
      </c>
      <c r="AC249">
        <v>1044.56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807</v>
      </c>
      <c r="AK249">
        <v>19.590800000000002</v>
      </c>
      <c r="AL249">
        <v>28.896342733333299</v>
      </c>
      <c r="AM249">
        <f t="shared" si="7"/>
        <v>9.3055427333332972</v>
      </c>
      <c r="AN249">
        <v>44.573234059030099</v>
      </c>
      <c r="AO249">
        <v>23.01</v>
      </c>
      <c r="AP249" s="10" t="s">
        <v>803</v>
      </c>
    </row>
    <row r="250" spans="2:42" ht="57.75" customHeight="1">
      <c r="B250">
        <f t="shared" si="6"/>
        <v>0</v>
      </c>
      <c r="C250" s="19" t="s">
        <v>808</v>
      </c>
      <c r="D250" t="s">
        <v>490</v>
      </c>
      <c r="E250" s="17">
        <v>95.238</v>
      </c>
      <c r="F250">
        <v>21</v>
      </c>
      <c r="G250">
        <v>1</v>
      </c>
      <c r="H250">
        <v>0</v>
      </c>
      <c r="I250">
        <v>1</v>
      </c>
      <c r="J250">
        <v>21</v>
      </c>
      <c r="K250">
        <v>603</v>
      </c>
      <c r="L250">
        <v>623</v>
      </c>
      <c r="M250" s="1">
        <v>1.0399999999999999E-9</v>
      </c>
      <c r="N250">
        <v>49.3</v>
      </c>
      <c r="O250" t="s">
        <v>808</v>
      </c>
      <c r="P250" t="s">
        <v>809</v>
      </c>
      <c r="Q250">
        <v>9070000</v>
      </c>
      <c r="R250">
        <v>6730000</v>
      </c>
      <c r="S250">
        <v>7800000</v>
      </c>
      <c r="T250">
        <v>0</v>
      </c>
      <c r="U250">
        <v>1650000</v>
      </c>
      <c r="V250">
        <v>1860000</v>
      </c>
      <c r="W250">
        <v>1030000</v>
      </c>
      <c r="X250">
        <v>419708</v>
      </c>
      <c r="Y250">
        <v>663008</v>
      </c>
      <c r="Z250">
        <v>154000000</v>
      </c>
      <c r="AA250">
        <v>171000000</v>
      </c>
      <c r="AB250">
        <v>137000000</v>
      </c>
      <c r="AC250">
        <v>244000000</v>
      </c>
      <c r="AD250">
        <v>211000000</v>
      </c>
      <c r="AE250">
        <v>214000000</v>
      </c>
      <c r="AF250">
        <v>223000000</v>
      </c>
      <c r="AG250">
        <v>163000000</v>
      </c>
      <c r="AH250">
        <v>183000000</v>
      </c>
      <c r="AI250" t="s">
        <v>810</v>
      </c>
      <c r="AK250">
        <v>22.591899999999999</v>
      </c>
      <c r="AL250">
        <v>22.673868599999999</v>
      </c>
      <c r="AM250">
        <f t="shared" si="7"/>
        <v>8.1968599999999725E-2</v>
      </c>
      <c r="AN250">
        <v>86.725824968680001</v>
      </c>
      <c r="AO250">
        <v>119.892857142857</v>
      </c>
      <c r="AP250" s="19" t="s">
        <v>808</v>
      </c>
    </row>
    <row r="251" spans="2:42" ht="57.75" customHeight="1">
      <c r="B251">
        <f t="shared" si="6"/>
        <v>0</v>
      </c>
      <c r="C251" s="19" t="s">
        <v>811</v>
      </c>
      <c r="D251" t="s">
        <v>490</v>
      </c>
      <c r="E251" s="17">
        <v>94.736999999999995</v>
      </c>
      <c r="F251">
        <v>19</v>
      </c>
      <c r="G251">
        <v>1</v>
      </c>
      <c r="H251">
        <v>0</v>
      </c>
      <c r="I251">
        <v>1</v>
      </c>
      <c r="J251">
        <v>19</v>
      </c>
      <c r="K251">
        <v>453</v>
      </c>
      <c r="L251">
        <v>471</v>
      </c>
      <c r="M251" s="1">
        <v>6.5600000000000005E-7</v>
      </c>
      <c r="N251">
        <v>41.2</v>
      </c>
      <c r="O251" t="s">
        <v>811</v>
      </c>
      <c r="P251" t="s">
        <v>812</v>
      </c>
      <c r="Q251">
        <v>0</v>
      </c>
      <c r="R251">
        <v>0</v>
      </c>
      <c r="S251">
        <v>293164</v>
      </c>
      <c r="T251">
        <v>0</v>
      </c>
      <c r="U251">
        <v>0</v>
      </c>
      <c r="V251">
        <v>385218</v>
      </c>
      <c r="W251">
        <v>0</v>
      </c>
      <c r="X251">
        <v>491723</v>
      </c>
      <c r="Y251">
        <v>488598</v>
      </c>
      <c r="Z251">
        <v>233645</v>
      </c>
      <c r="AA251">
        <v>0</v>
      </c>
      <c r="AB251">
        <v>172638</v>
      </c>
      <c r="AC251">
        <v>214593</v>
      </c>
      <c r="AD251">
        <v>176826</v>
      </c>
      <c r="AE251">
        <v>169760</v>
      </c>
      <c r="AF251">
        <v>149330</v>
      </c>
      <c r="AG251">
        <v>201464</v>
      </c>
      <c r="AH251">
        <v>126023</v>
      </c>
      <c r="AI251" t="s">
        <v>813</v>
      </c>
      <c r="AK251">
        <v>25.828600000000002</v>
      </c>
      <c r="AL251">
        <v>25.366689933333301</v>
      </c>
      <c r="AM251">
        <f t="shared" si="7"/>
        <v>0.4619100666667002</v>
      </c>
      <c r="AN251">
        <v>35.543739002936398</v>
      </c>
      <c r="AO251">
        <v>15.3947368421052</v>
      </c>
      <c r="AP251" s="19" t="s">
        <v>811</v>
      </c>
    </row>
    <row r="252" spans="2:42" ht="57.75" customHeight="1">
      <c r="B252">
        <f t="shared" si="6"/>
        <v>0</v>
      </c>
      <c r="C252" s="19" t="s">
        <v>814</v>
      </c>
      <c r="D252" t="s">
        <v>815</v>
      </c>
      <c r="E252" s="17">
        <v>50</v>
      </c>
      <c r="F252">
        <v>14</v>
      </c>
      <c r="G252">
        <v>7</v>
      </c>
      <c r="H252">
        <v>0</v>
      </c>
      <c r="I252">
        <v>2</v>
      </c>
      <c r="J252">
        <v>15</v>
      </c>
      <c r="K252">
        <v>124</v>
      </c>
      <c r="L252">
        <v>137</v>
      </c>
      <c r="M252">
        <v>8.5</v>
      </c>
      <c r="N252">
        <v>20.8</v>
      </c>
      <c r="O252" t="s">
        <v>816</v>
      </c>
      <c r="P252" t="s">
        <v>817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78293.5</v>
      </c>
      <c r="W252">
        <v>0</v>
      </c>
      <c r="X252">
        <v>0</v>
      </c>
      <c r="Y252">
        <v>0</v>
      </c>
      <c r="Z252">
        <v>0</v>
      </c>
      <c r="AA252">
        <v>58983.1</v>
      </c>
      <c r="AB252">
        <v>0</v>
      </c>
      <c r="AC252">
        <v>0</v>
      </c>
      <c r="AD252">
        <v>0</v>
      </c>
      <c r="AE252">
        <v>115867</v>
      </c>
      <c r="AF252">
        <v>160583</v>
      </c>
      <c r="AG252">
        <v>159596</v>
      </c>
      <c r="AH252">
        <v>141430</v>
      </c>
      <c r="AI252" t="s">
        <v>818</v>
      </c>
      <c r="AK252">
        <v>13.248699999999999</v>
      </c>
      <c r="AL252">
        <v>25.893501133333299</v>
      </c>
      <c r="AM252">
        <f t="shared" si="7"/>
        <v>12.644801133333299</v>
      </c>
      <c r="AN252">
        <v>20.4833594670061</v>
      </c>
      <c r="AO252">
        <v>5.3250000000000002</v>
      </c>
      <c r="AP252" s="19" t="s">
        <v>814</v>
      </c>
    </row>
    <row r="253" spans="2:42" ht="57.75" customHeight="1">
      <c r="B253">
        <f t="shared" si="6"/>
        <v>0</v>
      </c>
      <c r="C253" s="19" t="s">
        <v>819</v>
      </c>
      <c r="D253" t="s">
        <v>339</v>
      </c>
      <c r="E253" s="17">
        <v>68.75</v>
      </c>
      <c r="F253">
        <v>16</v>
      </c>
      <c r="G253">
        <v>5</v>
      </c>
      <c r="H253">
        <v>0</v>
      </c>
      <c r="I253">
        <v>1</v>
      </c>
      <c r="J253">
        <v>16</v>
      </c>
      <c r="K253">
        <v>46</v>
      </c>
      <c r="L253">
        <v>61</v>
      </c>
      <c r="M253">
        <v>5.2999999999999999E-2</v>
      </c>
      <c r="N253">
        <v>26.9</v>
      </c>
      <c r="O253" t="s">
        <v>819</v>
      </c>
      <c r="P253" t="s">
        <v>820</v>
      </c>
      <c r="Q253">
        <v>69779.600000000006</v>
      </c>
      <c r="R253">
        <v>35961.699999999997</v>
      </c>
      <c r="S253">
        <v>51003.3</v>
      </c>
      <c r="T253">
        <v>36939.599999999999</v>
      </c>
      <c r="U253">
        <v>53397.3</v>
      </c>
      <c r="V253">
        <v>20031.099999999999</v>
      </c>
      <c r="W253">
        <v>36434.800000000003</v>
      </c>
      <c r="X253">
        <v>41446.400000000001</v>
      </c>
      <c r="Y253">
        <v>31733.3</v>
      </c>
      <c r="Z253">
        <v>47926.6</v>
      </c>
      <c r="AA253">
        <v>60115.3</v>
      </c>
      <c r="AB253">
        <v>99358.2</v>
      </c>
      <c r="AC253">
        <v>97060.3</v>
      </c>
      <c r="AD253">
        <v>150573</v>
      </c>
      <c r="AE253">
        <v>128597</v>
      </c>
      <c r="AF253">
        <v>119956</v>
      </c>
      <c r="AG253">
        <v>82859.7</v>
      </c>
      <c r="AH253">
        <v>73318.5</v>
      </c>
      <c r="AI253" t="s">
        <v>821</v>
      </c>
      <c r="AK253">
        <v>19.475899999999999</v>
      </c>
      <c r="AL253">
        <v>19.513154466666698</v>
      </c>
      <c r="AM253">
        <f t="shared" si="7"/>
        <v>3.725446666669896E-2</v>
      </c>
      <c r="AN253">
        <v>25.621666677115599</v>
      </c>
      <c r="AO253">
        <v>8.3249999999999993</v>
      </c>
      <c r="AP253" s="19" t="s">
        <v>819</v>
      </c>
    </row>
    <row r="254" spans="2:42" ht="57.75" customHeight="1">
      <c r="B254">
        <f t="shared" si="6"/>
        <v>0</v>
      </c>
      <c r="C254" s="19" t="s">
        <v>822</v>
      </c>
      <c r="D254" t="s">
        <v>823</v>
      </c>
      <c r="E254" s="17">
        <v>70</v>
      </c>
      <c r="F254">
        <v>10</v>
      </c>
      <c r="G254">
        <v>3</v>
      </c>
      <c r="H254">
        <v>0</v>
      </c>
      <c r="I254">
        <v>2</v>
      </c>
      <c r="J254">
        <v>11</v>
      </c>
      <c r="K254">
        <v>678</v>
      </c>
      <c r="L254">
        <v>687</v>
      </c>
      <c r="M254">
        <v>0.53</v>
      </c>
      <c r="N254">
        <v>24.3</v>
      </c>
      <c r="O254" t="s">
        <v>824</v>
      </c>
      <c r="P254" t="s">
        <v>825</v>
      </c>
      <c r="Q254" s="6">
        <v>600365</v>
      </c>
      <c r="R254" s="6">
        <v>0</v>
      </c>
      <c r="S254" s="6">
        <v>0</v>
      </c>
      <c r="T254" s="6">
        <v>373787</v>
      </c>
      <c r="U254" s="6">
        <v>372354</v>
      </c>
      <c r="V254" s="6">
        <v>443030</v>
      </c>
      <c r="W254" s="6">
        <v>365039</v>
      </c>
      <c r="X254" s="6">
        <v>222672</v>
      </c>
      <c r="Y254" s="6">
        <v>389366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 t="s">
        <v>826</v>
      </c>
      <c r="AK254">
        <v>28.259599999999999</v>
      </c>
      <c r="AL254">
        <v>28.247432466666702</v>
      </c>
      <c r="AM254">
        <f t="shared" si="7"/>
        <v>1.2167533333297342E-2</v>
      </c>
      <c r="AN254">
        <v>33.574331605037798</v>
      </c>
      <c r="AO254">
        <v>32.625</v>
      </c>
      <c r="AP254" s="19" t="s">
        <v>822</v>
      </c>
    </row>
    <row r="255" spans="2:42" ht="57.75" customHeight="1">
      <c r="B255">
        <f t="shared" si="6"/>
        <v>1</v>
      </c>
      <c r="C255" s="19" t="s">
        <v>827</v>
      </c>
      <c r="D255" t="s">
        <v>828</v>
      </c>
      <c r="E255" s="17">
        <v>75</v>
      </c>
      <c r="F255">
        <v>8</v>
      </c>
      <c r="G255">
        <v>2</v>
      </c>
      <c r="H255">
        <v>0</v>
      </c>
      <c r="I255">
        <v>2</v>
      </c>
      <c r="J255">
        <v>9</v>
      </c>
      <c r="K255">
        <v>1795</v>
      </c>
      <c r="L255">
        <v>1802</v>
      </c>
      <c r="M255">
        <v>6.6</v>
      </c>
      <c r="N255">
        <v>20.399999999999999</v>
      </c>
      <c r="O255" t="s">
        <v>829</v>
      </c>
      <c r="P255" t="s">
        <v>830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15937.2</v>
      </c>
      <c r="X255" s="6">
        <v>1159.71</v>
      </c>
      <c r="Y255" s="6">
        <v>26984.1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 t="s">
        <v>826</v>
      </c>
      <c r="AK255">
        <v>26.9832</v>
      </c>
      <c r="AL255">
        <v>18.555799400000001</v>
      </c>
      <c r="AM255">
        <f t="shared" si="7"/>
        <v>8.4274005999999986</v>
      </c>
      <c r="AN255">
        <v>16.060895048345799</v>
      </c>
      <c r="AO255">
        <v>5.8499999999999899E-2</v>
      </c>
      <c r="AP255" s="19" t="s">
        <v>827</v>
      </c>
    </row>
    <row r="256" spans="2:42" ht="57.75" customHeight="1">
      <c r="B256">
        <f t="shared" si="6"/>
        <v>0</v>
      </c>
      <c r="C256" s="19" t="s">
        <v>831</v>
      </c>
      <c r="D256" t="s">
        <v>800</v>
      </c>
      <c r="E256" s="17">
        <v>81.25</v>
      </c>
      <c r="F256">
        <v>16</v>
      </c>
      <c r="G256">
        <v>3</v>
      </c>
      <c r="H256">
        <v>0</v>
      </c>
      <c r="I256">
        <v>1</v>
      </c>
      <c r="J256">
        <v>16</v>
      </c>
      <c r="K256">
        <v>101</v>
      </c>
      <c r="L256">
        <v>116</v>
      </c>
      <c r="M256" s="1">
        <v>7.8499999999999997E-5</v>
      </c>
      <c r="N256">
        <v>34.700000000000003</v>
      </c>
      <c r="O256" t="s">
        <v>831</v>
      </c>
      <c r="P256" t="s">
        <v>801</v>
      </c>
      <c r="Q256">
        <v>0</v>
      </c>
      <c r="R256">
        <v>0</v>
      </c>
      <c r="S256">
        <v>0</v>
      </c>
      <c r="T256">
        <v>2133.4899999999998</v>
      </c>
      <c r="U256">
        <v>3034.62</v>
      </c>
      <c r="V256">
        <v>2238.7800000000002</v>
      </c>
      <c r="W256">
        <v>2354.34</v>
      </c>
      <c r="X256">
        <v>2202.41</v>
      </c>
      <c r="Y256">
        <v>2131.14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832</v>
      </c>
      <c r="AK256">
        <v>16.1477</v>
      </c>
      <c r="AL256">
        <v>24.210657466666699</v>
      </c>
      <c r="AM256">
        <f t="shared" si="7"/>
        <v>8.062957466666699</v>
      </c>
      <c r="AN256">
        <v>17.001306443055601</v>
      </c>
      <c r="AO256">
        <v>4.2750000000000004</v>
      </c>
      <c r="AP256" s="19" t="s">
        <v>831</v>
      </c>
    </row>
    <row r="257" spans="2:42" ht="57.75" customHeight="1">
      <c r="B257">
        <f t="shared" si="6"/>
        <v>0</v>
      </c>
      <c r="C257" s="19" t="s">
        <v>833</v>
      </c>
      <c r="D257" t="s">
        <v>312</v>
      </c>
      <c r="E257" s="17">
        <v>66.667000000000002</v>
      </c>
      <c r="F257">
        <v>15</v>
      </c>
      <c r="G257">
        <v>5</v>
      </c>
      <c r="H257">
        <v>0</v>
      </c>
      <c r="I257">
        <v>1</v>
      </c>
      <c r="J257">
        <v>15</v>
      </c>
      <c r="K257">
        <v>74</v>
      </c>
      <c r="L257">
        <v>88</v>
      </c>
      <c r="M257">
        <v>4.1000000000000002E-2</v>
      </c>
      <c r="N257">
        <v>27.3</v>
      </c>
      <c r="O257" t="s">
        <v>833</v>
      </c>
      <c r="P257" t="s">
        <v>834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156516</v>
      </c>
      <c r="AE257" s="6">
        <v>0</v>
      </c>
      <c r="AF257" s="6">
        <v>0</v>
      </c>
      <c r="AG257" s="6">
        <v>0</v>
      </c>
      <c r="AH257" s="6">
        <v>0</v>
      </c>
      <c r="AI257" s="6" t="s">
        <v>835</v>
      </c>
      <c r="AK257">
        <v>16.754899999999999</v>
      </c>
      <c r="AL257">
        <v>14.601353599999999</v>
      </c>
      <c r="AM257">
        <f t="shared" si="7"/>
        <v>2.1535463999999997</v>
      </c>
      <c r="AN257">
        <v>23.739175839916001</v>
      </c>
      <c r="AO257">
        <v>18.75</v>
      </c>
      <c r="AP257" s="19" t="s">
        <v>833</v>
      </c>
    </row>
    <row r="258" spans="2:42" ht="57.75" customHeight="1">
      <c r="B258">
        <f t="shared" si="6"/>
        <v>1</v>
      </c>
      <c r="C258" s="19" t="s">
        <v>836</v>
      </c>
      <c r="D258" t="s">
        <v>797</v>
      </c>
      <c r="E258" s="17">
        <v>78.947000000000003</v>
      </c>
      <c r="F258">
        <v>19</v>
      </c>
      <c r="G258">
        <v>4</v>
      </c>
      <c r="H258">
        <v>0</v>
      </c>
      <c r="I258">
        <v>1</v>
      </c>
      <c r="J258">
        <v>19</v>
      </c>
      <c r="K258">
        <v>63</v>
      </c>
      <c r="L258">
        <v>81</v>
      </c>
      <c r="M258" s="1">
        <v>5.13E-5</v>
      </c>
      <c r="N258">
        <v>35</v>
      </c>
      <c r="O258" t="s">
        <v>836</v>
      </c>
      <c r="P258" t="s">
        <v>837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309517</v>
      </c>
      <c r="AE258" s="6">
        <v>0</v>
      </c>
      <c r="AF258" s="6">
        <v>0</v>
      </c>
      <c r="AG258" s="6">
        <v>0</v>
      </c>
      <c r="AH258" s="6">
        <v>0</v>
      </c>
      <c r="AI258" s="6" t="s">
        <v>835</v>
      </c>
      <c r="AK258">
        <v>22.369199999999999</v>
      </c>
      <c r="AL258">
        <v>29.2541166</v>
      </c>
      <c r="AM258">
        <f t="shared" si="7"/>
        <v>6.8849166000000004</v>
      </c>
      <c r="AN258">
        <v>31.4276357911899</v>
      </c>
      <c r="AO258">
        <v>7.8105263157894704</v>
      </c>
      <c r="AP258" s="19" t="s">
        <v>836</v>
      </c>
    </row>
    <row r="259" spans="2:42" ht="57.75" customHeight="1">
      <c r="B259">
        <f t="shared" si="6"/>
        <v>0</v>
      </c>
      <c r="C259" s="19" t="s">
        <v>838</v>
      </c>
      <c r="D259" t="s">
        <v>839</v>
      </c>
      <c r="E259" s="17">
        <v>88.888999999999996</v>
      </c>
      <c r="F259">
        <v>9</v>
      </c>
      <c r="G259">
        <v>1</v>
      </c>
      <c r="H259">
        <v>0</v>
      </c>
      <c r="I259">
        <v>1</v>
      </c>
      <c r="J259">
        <v>9</v>
      </c>
      <c r="K259">
        <v>53</v>
      </c>
      <c r="L259">
        <v>61</v>
      </c>
      <c r="M259">
        <v>8.6999999999999993</v>
      </c>
      <c r="N259">
        <v>20.399999999999999</v>
      </c>
      <c r="O259" t="s">
        <v>838</v>
      </c>
      <c r="P259" t="s">
        <v>840</v>
      </c>
      <c r="Q259">
        <v>169091</v>
      </c>
      <c r="R259">
        <v>127787</v>
      </c>
      <c r="S259">
        <v>85495.4</v>
      </c>
      <c r="T259">
        <v>104486</v>
      </c>
      <c r="U259">
        <v>142215</v>
      </c>
      <c r="V259">
        <v>89819.3</v>
      </c>
      <c r="W259">
        <v>97492</v>
      </c>
      <c r="X259">
        <v>106453</v>
      </c>
      <c r="Y259">
        <v>53103.1</v>
      </c>
      <c r="Z259">
        <v>484044</v>
      </c>
      <c r="AA259">
        <v>502834</v>
      </c>
      <c r="AB259">
        <v>469104</v>
      </c>
      <c r="AC259">
        <v>432957</v>
      </c>
      <c r="AD259">
        <v>1300000</v>
      </c>
      <c r="AE259">
        <v>542303</v>
      </c>
      <c r="AF259">
        <v>242702</v>
      </c>
      <c r="AG259">
        <v>190054</v>
      </c>
      <c r="AH259">
        <v>132156</v>
      </c>
      <c r="AI259" t="s">
        <v>841</v>
      </c>
      <c r="AK259">
        <v>9.1463300000000007</v>
      </c>
      <c r="AL259">
        <v>19.946873466666698</v>
      </c>
      <c r="AM259">
        <f t="shared" si="7"/>
        <v>10.800543466666698</v>
      </c>
      <c r="AN259">
        <v>15.8323593133433</v>
      </c>
      <c r="AO259">
        <v>6.8888888888888805E-2</v>
      </c>
      <c r="AP259" s="19" t="s">
        <v>838</v>
      </c>
    </row>
    <row r="260" spans="2:42" ht="57.75" customHeight="1">
      <c r="B260">
        <f t="shared" si="6"/>
        <v>0</v>
      </c>
      <c r="C260" s="19" t="s">
        <v>842</v>
      </c>
      <c r="D260" t="s">
        <v>843</v>
      </c>
      <c r="E260" s="17">
        <v>90</v>
      </c>
      <c r="F260">
        <v>10</v>
      </c>
      <c r="G260">
        <v>1</v>
      </c>
      <c r="H260">
        <v>0</v>
      </c>
      <c r="I260">
        <v>1</v>
      </c>
      <c r="J260">
        <v>10</v>
      </c>
      <c r="K260">
        <v>94</v>
      </c>
      <c r="L260">
        <v>103</v>
      </c>
      <c r="M260">
        <v>2.2999999999999998</v>
      </c>
      <c r="N260">
        <v>21.9</v>
      </c>
      <c r="O260" t="s">
        <v>842</v>
      </c>
      <c r="P260" t="s">
        <v>844</v>
      </c>
      <c r="Q260">
        <v>0</v>
      </c>
      <c r="R260">
        <v>45352.9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989463</v>
      </c>
      <c r="AA260">
        <v>892550</v>
      </c>
      <c r="AB260">
        <v>995646</v>
      </c>
      <c r="AC260">
        <v>440021</v>
      </c>
      <c r="AD260">
        <v>395650</v>
      </c>
      <c r="AE260">
        <v>391959</v>
      </c>
      <c r="AF260">
        <v>0</v>
      </c>
      <c r="AG260">
        <v>0</v>
      </c>
      <c r="AH260">
        <v>0</v>
      </c>
      <c r="AI260" t="s">
        <v>845</v>
      </c>
      <c r="AK260">
        <v>22.300699999999999</v>
      </c>
      <c r="AL260">
        <v>22.420577866666701</v>
      </c>
      <c r="AM260">
        <f t="shared" si="7"/>
        <v>0.11987786666670175</v>
      </c>
      <c r="AN260">
        <v>18.598749233878198</v>
      </c>
      <c r="AO260">
        <v>16.05</v>
      </c>
      <c r="AP260" s="19" t="s">
        <v>842</v>
      </c>
    </row>
    <row r="261" spans="2:42" ht="57.75" customHeight="1">
      <c r="B261">
        <f t="shared" si="6"/>
        <v>0</v>
      </c>
      <c r="C261" s="19" t="s">
        <v>846</v>
      </c>
      <c r="D261" t="s">
        <v>116</v>
      </c>
      <c r="E261" s="17">
        <v>86.956999999999994</v>
      </c>
      <c r="F261">
        <v>23</v>
      </c>
      <c r="G261">
        <v>3</v>
      </c>
      <c r="H261">
        <v>0</v>
      </c>
      <c r="I261">
        <v>1</v>
      </c>
      <c r="J261">
        <v>23</v>
      </c>
      <c r="K261">
        <v>162</v>
      </c>
      <c r="L261">
        <v>184</v>
      </c>
      <c r="M261" s="1">
        <v>9.9200000000000005E-9</v>
      </c>
      <c r="N261">
        <v>46.6</v>
      </c>
      <c r="O261" t="s">
        <v>846</v>
      </c>
      <c r="P261" t="s">
        <v>847</v>
      </c>
      <c r="Q261">
        <v>567758</v>
      </c>
      <c r="R261">
        <v>636437</v>
      </c>
      <c r="S261">
        <v>583191</v>
      </c>
      <c r="T261">
        <v>785154</v>
      </c>
      <c r="U261">
        <v>573654</v>
      </c>
      <c r="V261">
        <v>514402</v>
      </c>
      <c r="W261">
        <v>408195</v>
      </c>
      <c r="X261">
        <v>400444</v>
      </c>
      <c r="Y261">
        <v>462965</v>
      </c>
      <c r="Z261">
        <v>566618</v>
      </c>
      <c r="AA261">
        <v>523992</v>
      </c>
      <c r="AB261">
        <v>605848</v>
      </c>
      <c r="AC261">
        <v>744864</v>
      </c>
      <c r="AD261">
        <v>593763</v>
      </c>
      <c r="AE261">
        <v>744671</v>
      </c>
      <c r="AF261">
        <v>442347</v>
      </c>
      <c r="AG261">
        <v>623917</v>
      </c>
      <c r="AH261">
        <v>300433</v>
      </c>
      <c r="AI261" t="s">
        <v>848</v>
      </c>
      <c r="AK261">
        <v>29.596</v>
      </c>
      <c r="AL261">
        <v>28.5442972666667</v>
      </c>
      <c r="AM261">
        <f t="shared" si="7"/>
        <v>1.0517027333333004</v>
      </c>
      <c r="AN261">
        <v>31.292909465109801</v>
      </c>
      <c r="AO261">
        <v>5.4782608695652097</v>
      </c>
      <c r="AP261" s="19" t="s">
        <v>846</v>
      </c>
    </row>
    <row r="262" spans="2:42" ht="57.75" customHeight="1">
      <c r="B262">
        <f t="shared" si="6"/>
        <v>0</v>
      </c>
      <c r="C262" s="19" t="s">
        <v>849</v>
      </c>
      <c r="D262" t="s">
        <v>136</v>
      </c>
      <c r="E262" s="17">
        <v>53.570999999999998</v>
      </c>
      <c r="F262">
        <v>28</v>
      </c>
      <c r="G262">
        <v>13</v>
      </c>
      <c r="H262">
        <v>0</v>
      </c>
      <c r="I262">
        <v>1</v>
      </c>
      <c r="J262">
        <v>28</v>
      </c>
      <c r="K262">
        <v>45</v>
      </c>
      <c r="L262">
        <v>72</v>
      </c>
      <c r="M262">
        <v>1E-3</v>
      </c>
      <c r="N262">
        <v>32</v>
      </c>
      <c r="O262" t="s">
        <v>849</v>
      </c>
      <c r="P262" t="s">
        <v>850</v>
      </c>
      <c r="Q262">
        <v>3610.58</v>
      </c>
      <c r="R262">
        <v>3289.87</v>
      </c>
      <c r="S262">
        <v>2732.28</v>
      </c>
      <c r="T262">
        <v>6945.5</v>
      </c>
      <c r="U262">
        <v>6729.14</v>
      </c>
      <c r="V262">
        <v>5993.19</v>
      </c>
      <c r="W262">
        <v>6875.67</v>
      </c>
      <c r="X262">
        <v>5967.33</v>
      </c>
      <c r="Y262">
        <v>5780.76</v>
      </c>
      <c r="Z262">
        <v>11008.2</v>
      </c>
      <c r="AA262">
        <v>13352.2</v>
      </c>
      <c r="AB262">
        <v>8407.6299999999992</v>
      </c>
      <c r="AC262">
        <v>12391.6</v>
      </c>
      <c r="AD262">
        <v>7592.84</v>
      </c>
      <c r="AE262">
        <v>9656.82</v>
      </c>
      <c r="AF262">
        <v>4865.21</v>
      </c>
      <c r="AG262">
        <v>4913.05</v>
      </c>
      <c r="AH262">
        <v>5354.39</v>
      </c>
      <c r="AI262" t="s">
        <v>851</v>
      </c>
      <c r="AK262">
        <v>28.4132</v>
      </c>
      <c r="AL262">
        <v>28.450928600000001</v>
      </c>
      <c r="AM262">
        <f t="shared" si="7"/>
        <v>3.7728600000001222E-2</v>
      </c>
      <c r="AN262">
        <v>79.6026914229667</v>
      </c>
      <c r="AO262">
        <v>49.885714285714201</v>
      </c>
      <c r="AP262" s="19" t="s">
        <v>849</v>
      </c>
    </row>
    <row r="263" spans="2:42" ht="57.75" customHeight="1">
      <c r="B263">
        <f t="shared" si="6"/>
        <v>0</v>
      </c>
      <c r="C263" s="19" t="s">
        <v>852</v>
      </c>
      <c r="D263" t="s">
        <v>561</v>
      </c>
      <c r="E263" s="17">
        <v>90</v>
      </c>
      <c r="F263">
        <v>10</v>
      </c>
      <c r="G263">
        <v>1</v>
      </c>
      <c r="H263">
        <v>0</v>
      </c>
      <c r="I263">
        <v>1</v>
      </c>
      <c r="J263">
        <v>10</v>
      </c>
      <c r="K263">
        <v>94</v>
      </c>
      <c r="L263">
        <v>103</v>
      </c>
      <c r="M263">
        <v>3.6</v>
      </c>
      <c r="N263">
        <v>21.6</v>
      </c>
      <c r="O263" t="s">
        <v>852</v>
      </c>
      <c r="P263" t="s">
        <v>562</v>
      </c>
      <c r="Q263">
        <v>241393</v>
      </c>
      <c r="R263">
        <v>270523</v>
      </c>
      <c r="S263">
        <v>175072</v>
      </c>
      <c r="T263">
        <v>69907.3</v>
      </c>
      <c r="U263">
        <v>138465</v>
      </c>
      <c r="V263">
        <v>110917</v>
      </c>
      <c r="W263">
        <v>63004</v>
      </c>
      <c r="X263">
        <v>57734.400000000001</v>
      </c>
      <c r="Y263">
        <v>48254.1</v>
      </c>
      <c r="Z263">
        <v>219340</v>
      </c>
      <c r="AA263">
        <v>0</v>
      </c>
      <c r="AB263">
        <v>165835</v>
      </c>
      <c r="AC263">
        <v>175447</v>
      </c>
      <c r="AD263">
        <v>478548</v>
      </c>
      <c r="AE263">
        <v>0</v>
      </c>
      <c r="AF263">
        <v>206647</v>
      </c>
      <c r="AG263">
        <v>251496</v>
      </c>
      <c r="AH263">
        <v>143316</v>
      </c>
      <c r="AI263" t="s">
        <v>853</v>
      </c>
      <c r="AK263">
        <v>9.5766500000000008</v>
      </c>
      <c r="AL263">
        <v>22.7429362666667</v>
      </c>
      <c r="AM263">
        <f t="shared" si="7"/>
        <v>13.166286266666699</v>
      </c>
      <c r="AN263">
        <v>17.166113629327</v>
      </c>
      <c r="AO263">
        <v>11.12</v>
      </c>
      <c r="AP263" s="19" t="s">
        <v>852</v>
      </c>
    </row>
    <row r="264" spans="2:42" ht="57.75" customHeight="1">
      <c r="B264">
        <f t="shared" si="6"/>
        <v>0</v>
      </c>
      <c r="C264" s="19" t="s">
        <v>854</v>
      </c>
      <c r="D264" t="s">
        <v>475</v>
      </c>
      <c r="E264" s="17">
        <v>95</v>
      </c>
      <c r="F264">
        <v>20</v>
      </c>
      <c r="G264">
        <v>1</v>
      </c>
      <c r="H264">
        <v>0</v>
      </c>
      <c r="I264">
        <v>1</v>
      </c>
      <c r="J264">
        <v>20</v>
      </c>
      <c r="K264">
        <v>25</v>
      </c>
      <c r="L264">
        <v>44</v>
      </c>
      <c r="M264" s="1">
        <v>6.6399999999999999E-8</v>
      </c>
      <c r="N264">
        <v>42.7</v>
      </c>
      <c r="O264" t="s">
        <v>854</v>
      </c>
      <c r="P264" t="s">
        <v>476</v>
      </c>
      <c r="Q264">
        <v>0</v>
      </c>
      <c r="R264">
        <v>0</v>
      </c>
      <c r="S264">
        <v>0</v>
      </c>
      <c r="T264">
        <v>161729</v>
      </c>
      <c r="U264">
        <v>167972</v>
      </c>
      <c r="V264">
        <v>94739.7</v>
      </c>
      <c r="W264">
        <v>104666</v>
      </c>
      <c r="X264">
        <v>42023.6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291034</v>
      </c>
      <c r="AE264">
        <v>438191</v>
      </c>
      <c r="AF264">
        <v>231954</v>
      </c>
      <c r="AG264">
        <v>0</v>
      </c>
      <c r="AH264">
        <v>0</v>
      </c>
      <c r="AI264" t="s">
        <v>855</v>
      </c>
      <c r="AK264">
        <v>19.7578</v>
      </c>
      <c r="AL264">
        <v>28.112884933333302</v>
      </c>
      <c r="AM264">
        <f t="shared" si="7"/>
        <v>8.3550849333333019</v>
      </c>
      <c r="AN264">
        <v>27.7799216800077</v>
      </c>
      <c r="AO264">
        <v>16.3125</v>
      </c>
      <c r="AP264" s="19" t="s">
        <v>854</v>
      </c>
    </row>
    <row r="265" spans="2:42" ht="57.75" customHeight="1">
      <c r="B265">
        <f t="shared" si="6"/>
        <v>0</v>
      </c>
      <c r="C265" s="19" t="s">
        <v>856</v>
      </c>
      <c r="D265" t="s">
        <v>302</v>
      </c>
      <c r="E265" s="17">
        <v>90.909000000000006</v>
      </c>
      <c r="F265">
        <v>11</v>
      </c>
      <c r="G265">
        <v>1</v>
      </c>
      <c r="H265">
        <v>0</v>
      </c>
      <c r="I265">
        <v>1</v>
      </c>
      <c r="J265">
        <v>11</v>
      </c>
      <c r="K265">
        <v>106</v>
      </c>
      <c r="L265">
        <v>116</v>
      </c>
      <c r="M265">
        <v>5.7000000000000002E-2</v>
      </c>
      <c r="N265">
        <v>26.6</v>
      </c>
      <c r="O265" t="s">
        <v>856</v>
      </c>
      <c r="P265" t="s">
        <v>857</v>
      </c>
      <c r="Q265" s="6">
        <v>44157.3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22830.6</v>
      </c>
      <c r="Z265" s="6">
        <v>95489.4</v>
      </c>
      <c r="AA265" s="6">
        <v>69658.399999999994</v>
      </c>
      <c r="AB265" s="6">
        <v>54254.2</v>
      </c>
      <c r="AC265" s="6">
        <v>96228.2</v>
      </c>
      <c r="AD265" s="6">
        <v>63670.8</v>
      </c>
      <c r="AE265" s="6">
        <v>63742.8</v>
      </c>
      <c r="AF265" s="6">
        <v>51924.5</v>
      </c>
      <c r="AG265" s="6">
        <v>72464.7</v>
      </c>
      <c r="AH265" s="6">
        <v>162719</v>
      </c>
      <c r="AI265" s="6" t="s">
        <v>858</v>
      </c>
      <c r="AK265">
        <v>9.0257500000000004</v>
      </c>
      <c r="AL265">
        <v>18.064887599999999</v>
      </c>
      <c r="AM265">
        <f t="shared" si="7"/>
        <v>9.0391375999999983</v>
      </c>
      <c r="AN265">
        <v>19.7692802631923</v>
      </c>
      <c r="AO265">
        <v>18</v>
      </c>
      <c r="AP265" s="19" t="s">
        <v>856</v>
      </c>
    </row>
    <row r="266" spans="2:42" ht="57.75" customHeight="1">
      <c r="B266">
        <f t="shared" si="6"/>
        <v>1</v>
      </c>
      <c r="C266" s="19" t="s">
        <v>859</v>
      </c>
      <c r="D266" t="s">
        <v>653</v>
      </c>
      <c r="E266" s="17">
        <v>90.909000000000006</v>
      </c>
      <c r="F266">
        <v>11</v>
      </c>
      <c r="G266">
        <v>1</v>
      </c>
      <c r="H266">
        <v>0</v>
      </c>
      <c r="I266">
        <v>1</v>
      </c>
      <c r="J266">
        <v>11</v>
      </c>
      <c r="K266">
        <v>76</v>
      </c>
      <c r="L266">
        <v>86</v>
      </c>
      <c r="M266">
        <v>0.52</v>
      </c>
      <c r="N266">
        <v>23.9</v>
      </c>
      <c r="O266" t="s">
        <v>859</v>
      </c>
      <c r="P266" t="s">
        <v>860</v>
      </c>
      <c r="Q266" s="6">
        <v>61828.6</v>
      </c>
      <c r="R266" s="6">
        <v>95296.1</v>
      </c>
      <c r="S266" s="6">
        <v>87756.3</v>
      </c>
      <c r="T266" s="6">
        <v>52978.400000000001</v>
      </c>
      <c r="U266" s="6">
        <v>102210</v>
      </c>
      <c r="V266" s="6">
        <v>30548.2</v>
      </c>
      <c r="W266" s="6">
        <v>74988</v>
      </c>
      <c r="X266" s="6">
        <v>64561.9</v>
      </c>
      <c r="Y266" s="6">
        <v>46465.7</v>
      </c>
      <c r="Z266" s="6">
        <v>167132</v>
      </c>
      <c r="AA266" s="6">
        <v>193336</v>
      </c>
      <c r="AB266" s="6">
        <v>169333</v>
      </c>
      <c r="AC266" s="6">
        <v>216910</v>
      </c>
      <c r="AD266" s="6">
        <v>262664</v>
      </c>
      <c r="AE266" s="6">
        <v>249090</v>
      </c>
      <c r="AF266" s="6">
        <v>150933</v>
      </c>
      <c r="AG266" s="6">
        <v>95370.5</v>
      </c>
      <c r="AH266" s="6">
        <v>115713</v>
      </c>
      <c r="AI266" s="6" t="s">
        <v>858</v>
      </c>
      <c r="AK266">
        <v>22.892299999999999</v>
      </c>
      <c r="AL266">
        <v>28.881335</v>
      </c>
      <c r="AM266">
        <f t="shared" si="7"/>
        <v>5.9890350000000012</v>
      </c>
      <c r="AN266">
        <v>19.839304764221598</v>
      </c>
      <c r="AO266">
        <v>6.6363636363636305E-2</v>
      </c>
      <c r="AP266" s="19" t="s">
        <v>859</v>
      </c>
    </row>
    <row r="267" spans="2:42" ht="57.75" customHeight="1">
      <c r="B267">
        <f t="shared" si="6"/>
        <v>0</v>
      </c>
      <c r="C267" s="19" t="s">
        <v>861</v>
      </c>
      <c r="D267" t="s">
        <v>324</v>
      </c>
      <c r="E267" s="17">
        <v>75</v>
      </c>
      <c r="F267">
        <v>16</v>
      </c>
      <c r="G267">
        <v>4</v>
      </c>
      <c r="H267">
        <v>0</v>
      </c>
      <c r="I267">
        <v>1</v>
      </c>
      <c r="J267">
        <v>16</v>
      </c>
      <c r="K267">
        <v>46</v>
      </c>
      <c r="L267">
        <v>61</v>
      </c>
      <c r="M267">
        <v>4.3999999999999997E-2</v>
      </c>
      <c r="N267">
        <v>26.9</v>
      </c>
      <c r="O267" t="s">
        <v>861</v>
      </c>
      <c r="P267" t="s">
        <v>862</v>
      </c>
      <c r="Q267">
        <v>13964.4</v>
      </c>
      <c r="R267">
        <v>0</v>
      </c>
      <c r="S267">
        <v>0</v>
      </c>
      <c r="T267">
        <v>13713.3</v>
      </c>
      <c r="U267">
        <v>33545.599999999999</v>
      </c>
      <c r="V267">
        <v>12054</v>
      </c>
      <c r="W267">
        <v>8805.1</v>
      </c>
      <c r="X267">
        <v>8412.19</v>
      </c>
      <c r="Y267">
        <v>9007.0400000000009</v>
      </c>
      <c r="Z267">
        <v>15804.4</v>
      </c>
      <c r="AA267">
        <v>0</v>
      </c>
      <c r="AB267">
        <v>15051</v>
      </c>
      <c r="AC267">
        <v>22912.3</v>
      </c>
      <c r="AD267">
        <v>99238.399999999994</v>
      </c>
      <c r="AE267">
        <v>36324.199999999997</v>
      </c>
      <c r="AF267">
        <v>29098.6</v>
      </c>
      <c r="AG267">
        <v>0</v>
      </c>
      <c r="AH267">
        <v>23761.5</v>
      </c>
      <c r="AI267" t="s">
        <v>863</v>
      </c>
      <c r="AK267">
        <v>19.7575</v>
      </c>
      <c r="AL267">
        <v>28.338939266666699</v>
      </c>
      <c r="AM267">
        <f t="shared" si="7"/>
        <v>8.581439266666699</v>
      </c>
      <c r="AN267">
        <v>23.8066513588882</v>
      </c>
      <c r="AO267">
        <v>6.7</v>
      </c>
      <c r="AP267" s="19" t="s">
        <v>861</v>
      </c>
    </row>
    <row r="268" spans="2:42" ht="57.75" customHeight="1">
      <c r="B268">
        <f t="shared" si="6"/>
        <v>0</v>
      </c>
      <c r="C268" s="19" t="s">
        <v>864</v>
      </c>
      <c r="D268" t="s">
        <v>797</v>
      </c>
      <c r="E268" s="17">
        <v>88.888999999999996</v>
      </c>
      <c r="F268">
        <v>9</v>
      </c>
      <c r="G268">
        <v>1</v>
      </c>
      <c r="H268">
        <v>0</v>
      </c>
      <c r="I268">
        <v>1</v>
      </c>
      <c r="J268">
        <v>9</v>
      </c>
      <c r="K268">
        <v>51</v>
      </c>
      <c r="L268">
        <v>59</v>
      </c>
      <c r="M268">
        <v>2.2999999999999998</v>
      </c>
      <c r="N268">
        <v>21.9</v>
      </c>
      <c r="O268" t="s">
        <v>864</v>
      </c>
      <c r="P268" t="s">
        <v>865</v>
      </c>
      <c r="Q268">
        <v>116681</v>
      </c>
      <c r="R268">
        <v>178697</v>
      </c>
      <c r="S268">
        <v>133341</v>
      </c>
      <c r="T268">
        <v>70845</v>
      </c>
      <c r="U268">
        <v>157845</v>
      </c>
      <c r="V268">
        <v>163708</v>
      </c>
      <c r="W268">
        <v>50103.7</v>
      </c>
      <c r="X268">
        <v>125892</v>
      </c>
      <c r="Y268">
        <v>0</v>
      </c>
      <c r="Z268">
        <v>355343</v>
      </c>
      <c r="AA268">
        <v>166359</v>
      </c>
      <c r="AB268">
        <v>297206</v>
      </c>
      <c r="AC268">
        <v>329014</v>
      </c>
      <c r="AD268">
        <v>731231</v>
      </c>
      <c r="AE268">
        <v>477725</v>
      </c>
      <c r="AF268">
        <v>275406</v>
      </c>
      <c r="AG268">
        <v>233109</v>
      </c>
      <c r="AH268">
        <v>119406</v>
      </c>
      <c r="AI268" t="s">
        <v>866</v>
      </c>
      <c r="AK268">
        <v>17.741099999999999</v>
      </c>
      <c r="AL268">
        <v>14.5090993333333</v>
      </c>
      <c r="AM268">
        <f t="shared" si="7"/>
        <v>3.2320006666666998</v>
      </c>
      <c r="AN268">
        <v>16.361612405224101</v>
      </c>
      <c r="AO268">
        <v>1.1555555555555499</v>
      </c>
      <c r="AP268" s="19" t="s">
        <v>864</v>
      </c>
    </row>
    <row r="269" spans="2:42" ht="57.75" customHeight="1">
      <c r="B269">
        <f t="shared" si="6"/>
        <v>0</v>
      </c>
      <c r="C269" s="19" t="s">
        <v>867</v>
      </c>
      <c r="D269" t="s">
        <v>278</v>
      </c>
      <c r="E269" s="17">
        <v>80</v>
      </c>
      <c r="F269">
        <v>15</v>
      </c>
      <c r="G269">
        <v>3</v>
      </c>
      <c r="H269">
        <v>0</v>
      </c>
      <c r="I269">
        <v>1</v>
      </c>
      <c r="J269">
        <v>15</v>
      </c>
      <c r="K269">
        <v>66</v>
      </c>
      <c r="L269">
        <v>80</v>
      </c>
      <c r="M269">
        <v>0.15</v>
      </c>
      <c r="N269">
        <v>25.8</v>
      </c>
      <c r="O269" t="s">
        <v>867</v>
      </c>
      <c r="P269" t="s">
        <v>279</v>
      </c>
      <c r="Q269">
        <v>0</v>
      </c>
      <c r="R269">
        <v>0</v>
      </c>
      <c r="S269">
        <v>0</v>
      </c>
      <c r="T269">
        <v>22270.7</v>
      </c>
      <c r="U269">
        <v>8847.7099999999991</v>
      </c>
      <c r="V269">
        <v>9884.26</v>
      </c>
      <c r="W269">
        <v>19535.7</v>
      </c>
      <c r="X269">
        <v>22249.8</v>
      </c>
      <c r="Y269">
        <v>23058.9</v>
      </c>
      <c r="Z269">
        <v>46081.3</v>
      </c>
      <c r="AA269">
        <v>40182.800000000003</v>
      </c>
      <c r="AB269">
        <v>30970.7</v>
      </c>
      <c r="AC269">
        <v>35145.599999999999</v>
      </c>
      <c r="AD269">
        <v>88009.600000000006</v>
      </c>
      <c r="AE269">
        <v>43513</v>
      </c>
      <c r="AF269">
        <v>44149.2</v>
      </c>
      <c r="AG269">
        <v>54068.3</v>
      </c>
      <c r="AH269">
        <v>69230.600000000006</v>
      </c>
      <c r="AI269" t="s">
        <v>868</v>
      </c>
      <c r="AK269">
        <v>14.592700000000001</v>
      </c>
      <c r="AL269">
        <v>28.1093798666667</v>
      </c>
      <c r="AM269">
        <f t="shared" si="7"/>
        <v>13.516679866666699</v>
      </c>
      <c r="AN269">
        <v>23.465025509057298</v>
      </c>
      <c r="AO269">
        <v>6.7466666666666599</v>
      </c>
      <c r="AP269" s="19" t="s">
        <v>867</v>
      </c>
    </row>
    <row r="270" spans="2:42" ht="57.75" customHeight="1">
      <c r="B270">
        <f t="shared" si="6"/>
        <v>0</v>
      </c>
      <c r="C270" s="19" t="s">
        <v>869</v>
      </c>
      <c r="D270" t="s">
        <v>282</v>
      </c>
      <c r="E270" s="17">
        <v>86.667000000000002</v>
      </c>
      <c r="F270">
        <v>15</v>
      </c>
      <c r="G270">
        <v>2</v>
      </c>
      <c r="H270">
        <v>0</v>
      </c>
      <c r="I270">
        <v>1</v>
      </c>
      <c r="J270">
        <v>15</v>
      </c>
      <c r="K270">
        <v>25</v>
      </c>
      <c r="L270">
        <v>39</v>
      </c>
      <c r="M270">
        <v>3.0000000000000001E-3</v>
      </c>
      <c r="N270">
        <v>30.4</v>
      </c>
      <c r="O270" t="s">
        <v>869</v>
      </c>
      <c r="P270" t="s">
        <v>283</v>
      </c>
      <c r="Q270">
        <v>3155.67</v>
      </c>
      <c r="R270">
        <v>0</v>
      </c>
      <c r="S270">
        <v>3258.26</v>
      </c>
      <c r="T270">
        <v>3260.65</v>
      </c>
      <c r="U270">
        <v>5853.91</v>
      </c>
      <c r="V270">
        <v>0</v>
      </c>
      <c r="W270">
        <v>4523.4799999999996</v>
      </c>
      <c r="X270">
        <v>3512.83</v>
      </c>
      <c r="Y270">
        <v>3568.3</v>
      </c>
      <c r="Z270">
        <v>18892.400000000001</v>
      </c>
      <c r="AA270">
        <v>0</v>
      </c>
      <c r="AB270">
        <v>19349.599999999999</v>
      </c>
      <c r="AC270">
        <v>0</v>
      </c>
      <c r="AD270">
        <v>34405.300000000003</v>
      </c>
      <c r="AE270">
        <v>0</v>
      </c>
      <c r="AF270">
        <v>0</v>
      </c>
      <c r="AG270">
        <v>0</v>
      </c>
      <c r="AH270">
        <v>1723.16</v>
      </c>
      <c r="AI270" t="s">
        <v>870</v>
      </c>
      <c r="AK270">
        <v>15.9678</v>
      </c>
      <c r="AL270">
        <v>22.624037933333302</v>
      </c>
      <c r="AM270">
        <f t="shared" si="7"/>
        <v>6.6562379333333013</v>
      </c>
      <c r="AN270">
        <v>23.745324402081799</v>
      </c>
      <c r="AO270">
        <v>13.35</v>
      </c>
      <c r="AP270" s="19" t="s">
        <v>869</v>
      </c>
    </row>
    <row r="271" spans="2:42" ht="57.75" customHeight="1">
      <c r="B271">
        <f t="shared" si="6"/>
        <v>0</v>
      </c>
      <c r="C271" s="19" t="s">
        <v>871</v>
      </c>
      <c r="D271" t="s">
        <v>797</v>
      </c>
      <c r="E271" s="17">
        <v>73.332999999999998</v>
      </c>
      <c r="F271">
        <v>15</v>
      </c>
      <c r="G271">
        <v>4</v>
      </c>
      <c r="H271">
        <v>0</v>
      </c>
      <c r="I271">
        <v>2</v>
      </c>
      <c r="J271">
        <v>16</v>
      </c>
      <c r="K271">
        <v>67</v>
      </c>
      <c r="L271">
        <v>81</v>
      </c>
      <c r="M271">
        <v>5.1999999999999998E-2</v>
      </c>
      <c r="N271">
        <v>26.9</v>
      </c>
      <c r="O271" t="s">
        <v>872</v>
      </c>
      <c r="P271" t="s">
        <v>873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204079</v>
      </c>
      <c r="AE271" s="6">
        <v>0</v>
      </c>
      <c r="AF271" s="6">
        <v>70504.7</v>
      </c>
      <c r="AG271" s="6">
        <v>0</v>
      </c>
      <c r="AH271" s="6">
        <v>0</v>
      </c>
      <c r="AI271" s="6" t="s">
        <v>874</v>
      </c>
      <c r="AK271">
        <v>23.381699999999999</v>
      </c>
      <c r="AL271">
        <v>28.5186429333333</v>
      </c>
      <c r="AM271">
        <f t="shared" si="7"/>
        <v>5.1369429333333017</v>
      </c>
      <c r="AN271">
        <v>24.9844635920225</v>
      </c>
      <c r="AO271">
        <v>7.5250000000000004</v>
      </c>
      <c r="AP271" s="19" t="s">
        <v>871</v>
      </c>
    </row>
    <row r="272" spans="2:42" ht="57.75" customHeight="1">
      <c r="B272">
        <f t="shared" si="6"/>
        <v>1</v>
      </c>
      <c r="C272" s="19" t="s">
        <v>875</v>
      </c>
      <c r="D272" t="s">
        <v>839</v>
      </c>
      <c r="E272" s="17">
        <v>88.888999999999996</v>
      </c>
      <c r="F272">
        <v>9</v>
      </c>
      <c r="G272">
        <v>1</v>
      </c>
      <c r="H272">
        <v>0</v>
      </c>
      <c r="I272">
        <v>1</v>
      </c>
      <c r="J272">
        <v>9</v>
      </c>
      <c r="K272">
        <v>31</v>
      </c>
      <c r="L272">
        <v>39</v>
      </c>
      <c r="M272">
        <v>3.7</v>
      </c>
      <c r="N272">
        <v>21.2</v>
      </c>
      <c r="O272" t="s">
        <v>875</v>
      </c>
      <c r="P272" t="s">
        <v>876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553529</v>
      </c>
      <c r="AE272" s="6">
        <v>203984</v>
      </c>
      <c r="AF272" s="6">
        <v>6231.32</v>
      </c>
      <c r="AG272" s="6">
        <v>0</v>
      </c>
      <c r="AH272" s="6">
        <v>5321.74</v>
      </c>
      <c r="AI272" s="6" t="s">
        <v>874</v>
      </c>
      <c r="AK272">
        <v>17.273399999999999</v>
      </c>
      <c r="AL272">
        <v>17.2980551333333</v>
      </c>
      <c r="AM272">
        <f t="shared" si="7"/>
        <v>2.4655133333300938E-2</v>
      </c>
      <c r="AN272">
        <v>13.3699721766374</v>
      </c>
      <c r="AO272">
        <v>7.0000000000000007E-2</v>
      </c>
      <c r="AP272" s="19" t="s">
        <v>875</v>
      </c>
    </row>
    <row r="273" spans="2:42" ht="57.75" customHeight="1">
      <c r="B273">
        <f t="shared" si="6"/>
        <v>0</v>
      </c>
      <c r="C273" s="19" t="s">
        <v>877</v>
      </c>
      <c r="D273" t="s">
        <v>878</v>
      </c>
      <c r="E273" s="17">
        <v>95.652000000000001</v>
      </c>
      <c r="F273">
        <v>23</v>
      </c>
      <c r="G273">
        <v>1</v>
      </c>
      <c r="H273">
        <v>0</v>
      </c>
      <c r="I273">
        <v>1</v>
      </c>
      <c r="J273">
        <v>23</v>
      </c>
      <c r="K273">
        <v>33</v>
      </c>
      <c r="L273">
        <v>55</v>
      </c>
      <c r="M273" s="1">
        <v>1.9000000000000001E-8</v>
      </c>
      <c r="N273">
        <v>45.8</v>
      </c>
      <c r="O273" t="s">
        <v>877</v>
      </c>
      <c r="P273" t="s">
        <v>879</v>
      </c>
      <c r="Q273">
        <v>0</v>
      </c>
      <c r="R273">
        <v>61112.9</v>
      </c>
      <c r="S273">
        <v>33847</v>
      </c>
      <c r="T273">
        <v>65675.399999999994</v>
      </c>
      <c r="U273">
        <v>77557.7</v>
      </c>
      <c r="V273">
        <v>48232.4</v>
      </c>
      <c r="W273">
        <v>80053.7</v>
      </c>
      <c r="X273">
        <v>86057.7</v>
      </c>
      <c r="Y273">
        <v>92293.9</v>
      </c>
      <c r="Z273">
        <v>0</v>
      </c>
      <c r="AA273">
        <v>0</v>
      </c>
      <c r="AB273">
        <v>0</v>
      </c>
      <c r="AC273">
        <v>0</v>
      </c>
      <c r="AD273">
        <v>58895.6</v>
      </c>
      <c r="AE273">
        <v>64230</v>
      </c>
      <c r="AF273">
        <v>135928</v>
      </c>
      <c r="AG273">
        <v>191390</v>
      </c>
      <c r="AH273">
        <v>155005</v>
      </c>
      <c r="AI273" t="s">
        <v>880</v>
      </c>
      <c r="AK273">
        <v>21.991199999999999</v>
      </c>
      <c r="AL273">
        <v>22.092375933333301</v>
      </c>
      <c r="AM273">
        <f t="shared" si="7"/>
        <v>0.10117593333330177</v>
      </c>
      <c r="AN273">
        <v>27.775810881743801</v>
      </c>
      <c r="AO273">
        <v>10.5978260869565</v>
      </c>
      <c r="AP273" s="19" t="s">
        <v>877</v>
      </c>
    </row>
    <row r="274" spans="2:42" ht="57.75" customHeight="1">
      <c r="B274">
        <f t="shared" si="6"/>
        <v>0</v>
      </c>
      <c r="C274" s="19" t="s">
        <v>881</v>
      </c>
      <c r="D274" t="s">
        <v>839</v>
      </c>
      <c r="E274" s="17">
        <v>93.332999999999998</v>
      </c>
      <c r="F274">
        <v>15</v>
      </c>
      <c r="G274">
        <v>1</v>
      </c>
      <c r="H274">
        <v>0</v>
      </c>
      <c r="I274">
        <v>1</v>
      </c>
      <c r="J274">
        <v>15</v>
      </c>
      <c r="K274">
        <v>25</v>
      </c>
      <c r="L274">
        <v>39</v>
      </c>
      <c r="M274">
        <v>4.0000000000000001E-3</v>
      </c>
      <c r="N274">
        <v>29.6</v>
      </c>
      <c r="O274" t="s">
        <v>881</v>
      </c>
      <c r="P274" t="s">
        <v>882</v>
      </c>
      <c r="Q274">
        <v>23599.599999999999</v>
      </c>
      <c r="R274">
        <v>24772.1</v>
      </c>
      <c r="S274">
        <v>0</v>
      </c>
      <c r="T274">
        <v>36063.699999999997</v>
      </c>
      <c r="U274">
        <v>71417.899999999994</v>
      </c>
      <c r="V274">
        <v>20776.099999999999</v>
      </c>
      <c r="W274">
        <v>21771.4</v>
      </c>
      <c r="X274">
        <v>62007.6</v>
      </c>
      <c r="Y274">
        <v>29112.400000000001</v>
      </c>
      <c r="Z274">
        <v>125742</v>
      </c>
      <c r="AA274">
        <v>80240.399999999994</v>
      </c>
      <c r="AB274">
        <v>119898</v>
      </c>
      <c r="AC274">
        <v>81845.399999999994</v>
      </c>
      <c r="AD274">
        <v>318429</v>
      </c>
      <c r="AE274">
        <v>135136</v>
      </c>
      <c r="AF274">
        <v>158252</v>
      </c>
      <c r="AG274">
        <v>73822.8</v>
      </c>
      <c r="AH274">
        <v>107302</v>
      </c>
      <c r="AI274" t="s">
        <v>883</v>
      </c>
      <c r="AK274">
        <v>20.308700000000002</v>
      </c>
      <c r="AL274">
        <v>29.097951666666699</v>
      </c>
      <c r="AM274">
        <f t="shared" si="7"/>
        <v>8.7892516666666971</v>
      </c>
      <c r="AN274">
        <v>21.464832008203899</v>
      </c>
      <c r="AO274">
        <v>17.100000000000001</v>
      </c>
      <c r="AP274" s="19" t="s">
        <v>881</v>
      </c>
    </row>
    <row r="275" spans="2:42" ht="57.75" customHeight="1">
      <c r="B275">
        <f t="shared" si="6"/>
        <v>0</v>
      </c>
      <c r="C275" s="19" t="s">
        <v>884</v>
      </c>
      <c r="D275" t="s">
        <v>70</v>
      </c>
      <c r="E275" s="17">
        <v>91.667000000000002</v>
      </c>
      <c r="F275">
        <v>12</v>
      </c>
      <c r="G275">
        <v>1</v>
      </c>
      <c r="H275">
        <v>0</v>
      </c>
      <c r="I275">
        <v>1</v>
      </c>
      <c r="J275">
        <v>12</v>
      </c>
      <c r="K275">
        <v>58</v>
      </c>
      <c r="L275">
        <v>69</v>
      </c>
      <c r="M275">
        <v>6.0000000000000001E-3</v>
      </c>
      <c r="N275">
        <v>29.3</v>
      </c>
      <c r="O275" t="s">
        <v>884</v>
      </c>
      <c r="P275" t="s">
        <v>71</v>
      </c>
      <c r="Q275">
        <v>791799</v>
      </c>
      <c r="R275">
        <v>877459</v>
      </c>
      <c r="S275">
        <v>811013</v>
      </c>
      <c r="T275">
        <v>554520</v>
      </c>
      <c r="U275">
        <v>1410000</v>
      </c>
      <c r="V275">
        <v>589987</v>
      </c>
      <c r="W275">
        <v>428449</v>
      </c>
      <c r="X275">
        <v>686201</v>
      </c>
      <c r="Y275">
        <v>513766</v>
      </c>
      <c r="Z275">
        <v>1440000</v>
      </c>
      <c r="AA275">
        <v>931523</v>
      </c>
      <c r="AB275">
        <v>1840000</v>
      </c>
      <c r="AC275">
        <v>1770000</v>
      </c>
      <c r="AD275">
        <v>4350000</v>
      </c>
      <c r="AE275">
        <v>2950000</v>
      </c>
      <c r="AF275">
        <v>2780000</v>
      </c>
      <c r="AG275">
        <v>1520000</v>
      </c>
      <c r="AH275">
        <v>1460000</v>
      </c>
      <c r="AI275" t="s">
        <v>885</v>
      </c>
      <c r="AK275">
        <v>16.3751</v>
      </c>
      <c r="AL275">
        <v>16.413698066666701</v>
      </c>
      <c r="AM275">
        <f t="shared" si="7"/>
        <v>3.8598066666700959E-2</v>
      </c>
      <c r="AN275">
        <v>37.5352112598312</v>
      </c>
      <c r="AO275">
        <v>40.625</v>
      </c>
      <c r="AP275" s="19" t="s">
        <v>884</v>
      </c>
    </row>
    <row r="276" spans="2:42" ht="57.75" customHeight="1">
      <c r="B276">
        <f t="shared" si="6"/>
        <v>0</v>
      </c>
      <c r="C276" s="19" t="s">
        <v>886</v>
      </c>
      <c r="D276" t="s">
        <v>534</v>
      </c>
      <c r="E276" s="17">
        <v>68</v>
      </c>
      <c r="F276">
        <v>25</v>
      </c>
      <c r="G276">
        <v>8</v>
      </c>
      <c r="H276">
        <v>0</v>
      </c>
      <c r="I276">
        <v>1</v>
      </c>
      <c r="J276">
        <v>25</v>
      </c>
      <c r="K276">
        <v>38</v>
      </c>
      <c r="L276">
        <v>62</v>
      </c>
      <c r="M276" s="1">
        <v>2.1399999999999998E-6</v>
      </c>
      <c r="N276">
        <v>39.299999999999997</v>
      </c>
      <c r="O276" t="s">
        <v>886</v>
      </c>
      <c r="P276" t="s">
        <v>887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33359.699999999997</v>
      </c>
      <c r="X276">
        <v>23446.9</v>
      </c>
      <c r="Y276">
        <v>0</v>
      </c>
      <c r="Z276">
        <v>276454</v>
      </c>
      <c r="AA276">
        <v>265377</v>
      </c>
      <c r="AB276">
        <v>249800</v>
      </c>
      <c r="AC276">
        <v>346175</v>
      </c>
      <c r="AD276">
        <v>382032</v>
      </c>
      <c r="AE276">
        <v>313644</v>
      </c>
      <c r="AF276">
        <v>186819</v>
      </c>
      <c r="AG276">
        <v>93601.2</v>
      </c>
      <c r="AH276">
        <v>93108.7</v>
      </c>
      <c r="AI276" t="s">
        <v>888</v>
      </c>
      <c r="AK276">
        <v>26.573499999999999</v>
      </c>
      <c r="AL276">
        <v>24.846518799999998</v>
      </c>
      <c r="AM276">
        <f t="shared" si="7"/>
        <v>1.7269812000000009</v>
      </c>
      <c r="AN276">
        <v>40.474564893748003</v>
      </c>
      <c r="AO276">
        <v>17.73</v>
      </c>
      <c r="AP276" s="19" t="s">
        <v>886</v>
      </c>
    </row>
  </sheetData>
  <autoFilter ref="C39:AP39" xr:uid="{25805CE1-8A76-423D-BFAA-BDDF8C265D68}"/>
  <mergeCells count="6">
    <mergeCell ref="Q37:Y37"/>
    <mergeCell ref="Z37:AH37"/>
    <mergeCell ref="Q38:V38"/>
    <mergeCell ref="W38:Y38"/>
    <mergeCell ref="Z38:AE38"/>
    <mergeCell ref="AF38:AH38"/>
  </mergeCells>
  <hyperlinks>
    <hyperlink ref="AP42" r:id="rId1" xr:uid="{01C25B9B-B186-4DCF-B58A-03B86885F926}"/>
    <hyperlink ref="AP48" r:id="rId2" xr:uid="{21D6D24D-EBF5-4F28-A9C4-79DD4A32B4A5}"/>
    <hyperlink ref="AP249" r:id="rId3" xr:uid="{F4189B18-48EF-47A8-A22E-6503856DF5D2}"/>
    <hyperlink ref="AP243" r:id="rId4" xr:uid="{185798F7-A9C9-4EFC-BB53-40A5BDC1621E}"/>
    <hyperlink ref="AP224" r:id="rId5" xr:uid="{98E3FED0-A915-4869-AB21-B47821BAF864}"/>
    <hyperlink ref="AP190" r:id="rId6" xr:uid="{A4E50540-4FA8-4809-BCE8-8749A5136EC0}"/>
    <hyperlink ref="AP150" r:id="rId7" xr:uid="{E8F59D10-6074-4CCE-A404-1A4F833EB560}"/>
    <hyperlink ref="AP135" r:id="rId8" xr:uid="{7CB26B0A-1575-4621-A86C-D6C46C7EA46F}"/>
    <hyperlink ref="AP86" r:id="rId9" xr:uid="{B77310E5-98F2-4F77-8A44-D6CCB3AC23A8}"/>
    <hyperlink ref="AP81" r:id="rId10" xr:uid="{5F157429-6F74-4147-AB11-DF58D116D0E8}"/>
    <hyperlink ref="AP79" r:id="rId11" xr:uid="{44AAADA2-A01C-4C7F-9E7C-811483C99854}"/>
  </hyperlinks>
  <pageMargins left="0.7" right="0.7" top="0.75" bottom="0.75" header="0.3" footer="0.3"/>
  <drawing r:id="rId1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76A74C71-B802-488D-BD3F-D8DD62484A3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Blast238!Q40:AH40</xm:f>
              <xm:sqref>AJ40</xm:sqref>
            </x14:sparkline>
            <x14:sparkline>
              <xm:f>Blast238!Q41:AH41</xm:f>
              <xm:sqref>AJ41</xm:sqref>
            </x14:sparkline>
            <x14:sparkline>
              <xm:f>Blast238!Q42:AH42</xm:f>
              <xm:sqref>AJ42</xm:sqref>
            </x14:sparkline>
            <x14:sparkline>
              <xm:f>Blast238!Q43:AH43</xm:f>
              <xm:sqref>AJ43</xm:sqref>
            </x14:sparkline>
            <x14:sparkline>
              <xm:f>Blast238!Q44:AH44</xm:f>
              <xm:sqref>AJ44</xm:sqref>
            </x14:sparkline>
            <x14:sparkline>
              <xm:f>Blast238!Q45:AH45</xm:f>
              <xm:sqref>AJ45</xm:sqref>
            </x14:sparkline>
            <x14:sparkline>
              <xm:f>Blast238!Q46:AH46</xm:f>
              <xm:sqref>AJ46</xm:sqref>
            </x14:sparkline>
            <x14:sparkline>
              <xm:f>Blast238!Q47:AH47</xm:f>
              <xm:sqref>AJ47</xm:sqref>
            </x14:sparkline>
            <x14:sparkline>
              <xm:f>Blast238!Q48:AH48</xm:f>
              <xm:sqref>AJ48</xm:sqref>
            </x14:sparkline>
            <x14:sparkline>
              <xm:f>Blast238!Q49:AH49</xm:f>
              <xm:sqref>AJ49</xm:sqref>
            </x14:sparkline>
            <x14:sparkline>
              <xm:f>Blast238!Q50:AH50</xm:f>
              <xm:sqref>AJ50</xm:sqref>
            </x14:sparkline>
            <x14:sparkline>
              <xm:f>Blast238!Q51:AH51</xm:f>
              <xm:sqref>AJ51</xm:sqref>
            </x14:sparkline>
            <x14:sparkline>
              <xm:f>Blast238!Q52:AH52</xm:f>
              <xm:sqref>AJ52</xm:sqref>
            </x14:sparkline>
            <x14:sparkline>
              <xm:f>Blast238!Q53:AH53</xm:f>
              <xm:sqref>AJ53</xm:sqref>
            </x14:sparkline>
            <x14:sparkline>
              <xm:f>Blast238!Q54:AH54</xm:f>
              <xm:sqref>AJ54</xm:sqref>
            </x14:sparkline>
            <x14:sparkline>
              <xm:f>Blast238!Q55:AH55</xm:f>
              <xm:sqref>AJ55</xm:sqref>
            </x14:sparkline>
            <x14:sparkline>
              <xm:f>Blast238!Q56:AH56</xm:f>
              <xm:sqref>AJ56</xm:sqref>
            </x14:sparkline>
            <x14:sparkline>
              <xm:f>Blast238!Q57:AH57</xm:f>
              <xm:sqref>AJ57</xm:sqref>
            </x14:sparkline>
            <x14:sparkline>
              <xm:f>Blast238!Q58:AH58</xm:f>
              <xm:sqref>AJ58</xm:sqref>
            </x14:sparkline>
            <x14:sparkline>
              <xm:f>Blast238!Q59:AH59</xm:f>
              <xm:sqref>AJ59</xm:sqref>
            </x14:sparkline>
            <x14:sparkline>
              <xm:f>Blast238!Q60:AH60</xm:f>
              <xm:sqref>AJ60</xm:sqref>
            </x14:sparkline>
            <x14:sparkline>
              <xm:f>Blast238!Q61:AH61</xm:f>
              <xm:sqref>AJ61</xm:sqref>
            </x14:sparkline>
            <x14:sparkline>
              <xm:f>Blast238!Q62:AH62</xm:f>
              <xm:sqref>AJ62</xm:sqref>
            </x14:sparkline>
            <x14:sparkline>
              <xm:f>Blast238!Q63:AH63</xm:f>
              <xm:sqref>AJ63</xm:sqref>
            </x14:sparkline>
            <x14:sparkline>
              <xm:f>Blast238!Q64:AH64</xm:f>
              <xm:sqref>AJ64</xm:sqref>
            </x14:sparkline>
            <x14:sparkline>
              <xm:f>Blast238!Q65:AH65</xm:f>
              <xm:sqref>AJ65</xm:sqref>
            </x14:sparkline>
            <x14:sparkline>
              <xm:f>Blast238!Q66:AH66</xm:f>
              <xm:sqref>AJ66</xm:sqref>
            </x14:sparkline>
            <x14:sparkline>
              <xm:f>Blast238!Q67:AH67</xm:f>
              <xm:sqref>AJ67</xm:sqref>
            </x14:sparkline>
            <x14:sparkline>
              <xm:f>Blast238!Q68:AH68</xm:f>
              <xm:sqref>AJ68</xm:sqref>
            </x14:sparkline>
            <x14:sparkline>
              <xm:f>Blast238!Q69:AH69</xm:f>
              <xm:sqref>AJ69</xm:sqref>
            </x14:sparkline>
            <x14:sparkline>
              <xm:f>Blast238!Q70:AH70</xm:f>
              <xm:sqref>AJ70</xm:sqref>
            </x14:sparkline>
            <x14:sparkline>
              <xm:f>Blast238!Q71:AH71</xm:f>
              <xm:sqref>AJ71</xm:sqref>
            </x14:sparkline>
            <x14:sparkline>
              <xm:f>Blast238!Q72:AH72</xm:f>
              <xm:sqref>AJ72</xm:sqref>
            </x14:sparkline>
            <x14:sparkline>
              <xm:f>Blast238!Q73:AH73</xm:f>
              <xm:sqref>AJ73</xm:sqref>
            </x14:sparkline>
            <x14:sparkline>
              <xm:f>Blast238!Q74:AH74</xm:f>
              <xm:sqref>AJ74</xm:sqref>
            </x14:sparkline>
            <x14:sparkline>
              <xm:f>Blast238!Q75:AH75</xm:f>
              <xm:sqref>AJ75</xm:sqref>
            </x14:sparkline>
            <x14:sparkline>
              <xm:f>Blast238!Q76:AH76</xm:f>
              <xm:sqref>AJ76</xm:sqref>
            </x14:sparkline>
            <x14:sparkline>
              <xm:f>Blast238!Q77:AH77</xm:f>
              <xm:sqref>AJ77</xm:sqref>
            </x14:sparkline>
            <x14:sparkline>
              <xm:f>Blast238!Q78:AH78</xm:f>
              <xm:sqref>AJ78</xm:sqref>
            </x14:sparkline>
            <x14:sparkline>
              <xm:f>Blast238!Q79:AH79</xm:f>
              <xm:sqref>AJ79</xm:sqref>
            </x14:sparkline>
            <x14:sparkline>
              <xm:f>Blast238!Q80:AH80</xm:f>
              <xm:sqref>AJ80</xm:sqref>
            </x14:sparkline>
            <x14:sparkline>
              <xm:f>Blast238!Q81:AH81</xm:f>
              <xm:sqref>AJ81</xm:sqref>
            </x14:sparkline>
            <x14:sparkline>
              <xm:f>Blast238!Q82:AH82</xm:f>
              <xm:sqref>AJ82</xm:sqref>
            </x14:sparkline>
            <x14:sparkline>
              <xm:f>Blast238!Q83:AH83</xm:f>
              <xm:sqref>AJ83</xm:sqref>
            </x14:sparkline>
            <x14:sparkline>
              <xm:f>Blast238!Q84:AH84</xm:f>
              <xm:sqref>AJ84</xm:sqref>
            </x14:sparkline>
            <x14:sparkline>
              <xm:f>Blast238!Q85:AH85</xm:f>
              <xm:sqref>AJ85</xm:sqref>
            </x14:sparkline>
            <x14:sparkline>
              <xm:f>Blast238!Q86:AH86</xm:f>
              <xm:sqref>AJ86</xm:sqref>
            </x14:sparkline>
            <x14:sparkline>
              <xm:f>Blast238!Q87:AH87</xm:f>
              <xm:sqref>AJ87</xm:sqref>
            </x14:sparkline>
            <x14:sparkline>
              <xm:f>Blast238!Q88:AH88</xm:f>
              <xm:sqref>AJ88</xm:sqref>
            </x14:sparkline>
            <x14:sparkline>
              <xm:f>Blast238!Q89:AH89</xm:f>
              <xm:sqref>AJ89</xm:sqref>
            </x14:sparkline>
            <x14:sparkline>
              <xm:f>Blast238!Q90:AH90</xm:f>
              <xm:sqref>AJ90</xm:sqref>
            </x14:sparkline>
            <x14:sparkline>
              <xm:f>Blast238!Q91:AH91</xm:f>
              <xm:sqref>AJ91</xm:sqref>
            </x14:sparkline>
            <x14:sparkline>
              <xm:f>Blast238!Q92:AH92</xm:f>
              <xm:sqref>AJ92</xm:sqref>
            </x14:sparkline>
            <x14:sparkline>
              <xm:f>Blast238!Q93:AH93</xm:f>
              <xm:sqref>AJ93</xm:sqref>
            </x14:sparkline>
            <x14:sparkline>
              <xm:f>Blast238!Q94:AH94</xm:f>
              <xm:sqref>AJ94</xm:sqref>
            </x14:sparkline>
            <x14:sparkline>
              <xm:f>Blast238!Q95:AH95</xm:f>
              <xm:sqref>AJ95</xm:sqref>
            </x14:sparkline>
            <x14:sparkline>
              <xm:f>Blast238!Q96:AH96</xm:f>
              <xm:sqref>AJ96</xm:sqref>
            </x14:sparkline>
            <x14:sparkline>
              <xm:f>Blast238!Q97:AH97</xm:f>
              <xm:sqref>AJ97</xm:sqref>
            </x14:sparkline>
            <x14:sparkline>
              <xm:f>Blast238!Q98:AH98</xm:f>
              <xm:sqref>AJ98</xm:sqref>
            </x14:sparkline>
            <x14:sparkline>
              <xm:f>Blast238!Q99:AH99</xm:f>
              <xm:sqref>AJ99</xm:sqref>
            </x14:sparkline>
            <x14:sparkline>
              <xm:f>Blast238!Q100:AH100</xm:f>
              <xm:sqref>AJ100</xm:sqref>
            </x14:sparkline>
            <x14:sparkline>
              <xm:f>Blast238!Q101:AH101</xm:f>
              <xm:sqref>AJ101</xm:sqref>
            </x14:sparkline>
            <x14:sparkline>
              <xm:f>Blast238!Q102:AH102</xm:f>
              <xm:sqref>AJ102</xm:sqref>
            </x14:sparkline>
            <x14:sparkline>
              <xm:f>Blast238!Q103:AH103</xm:f>
              <xm:sqref>AJ103</xm:sqref>
            </x14:sparkline>
            <x14:sparkline>
              <xm:f>Blast238!Q104:AH104</xm:f>
              <xm:sqref>AJ104</xm:sqref>
            </x14:sparkline>
            <x14:sparkline>
              <xm:f>Blast238!Q105:AH105</xm:f>
              <xm:sqref>AJ105</xm:sqref>
            </x14:sparkline>
            <x14:sparkline>
              <xm:f>Blast238!Q106:AH106</xm:f>
              <xm:sqref>AJ106</xm:sqref>
            </x14:sparkline>
            <x14:sparkline>
              <xm:f>Blast238!Q107:AH107</xm:f>
              <xm:sqref>AJ107</xm:sqref>
            </x14:sparkline>
            <x14:sparkline>
              <xm:f>Blast238!Q108:AH108</xm:f>
              <xm:sqref>AJ108</xm:sqref>
            </x14:sparkline>
            <x14:sparkline>
              <xm:f>Blast238!Q109:AH109</xm:f>
              <xm:sqref>AJ109</xm:sqref>
            </x14:sparkline>
            <x14:sparkline>
              <xm:f>Blast238!Q110:AH110</xm:f>
              <xm:sqref>AJ110</xm:sqref>
            </x14:sparkline>
            <x14:sparkline>
              <xm:f>Blast238!Q111:AH111</xm:f>
              <xm:sqref>AJ111</xm:sqref>
            </x14:sparkline>
            <x14:sparkline>
              <xm:f>Blast238!Q112:AH112</xm:f>
              <xm:sqref>AJ112</xm:sqref>
            </x14:sparkline>
            <x14:sparkline>
              <xm:f>Blast238!Q113:AH113</xm:f>
              <xm:sqref>AJ113</xm:sqref>
            </x14:sparkline>
            <x14:sparkline>
              <xm:f>Blast238!Q114:AH114</xm:f>
              <xm:sqref>AJ114</xm:sqref>
            </x14:sparkline>
            <x14:sparkline>
              <xm:f>Blast238!Q115:AH115</xm:f>
              <xm:sqref>AJ115</xm:sqref>
            </x14:sparkline>
            <x14:sparkline>
              <xm:f>Blast238!Q116:AH116</xm:f>
              <xm:sqref>AJ116</xm:sqref>
            </x14:sparkline>
            <x14:sparkline>
              <xm:f>Blast238!Q117:AH117</xm:f>
              <xm:sqref>AJ117</xm:sqref>
            </x14:sparkline>
            <x14:sparkline>
              <xm:f>Blast238!Q118:AH118</xm:f>
              <xm:sqref>AJ118</xm:sqref>
            </x14:sparkline>
            <x14:sparkline>
              <xm:f>Blast238!Q119:AH119</xm:f>
              <xm:sqref>AJ119</xm:sqref>
            </x14:sparkline>
            <x14:sparkline>
              <xm:f>Blast238!Q120:AH120</xm:f>
              <xm:sqref>AJ120</xm:sqref>
            </x14:sparkline>
            <x14:sparkline>
              <xm:f>Blast238!Q121:AH121</xm:f>
              <xm:sqref>AJ121</xm:sqref>
            </x14:sparkline>
            <x14:sparkline>
              <xm:f>Blast238!Q122:AH122</xm:f>
              <xm:sqref>AJ122</xm:sqref>
            </x14:sparkline>
            <x14:sparkline>
              <xm:f>Blast238!Q123:AH123</xm:f>
              <xm:sqref>AJ123</xm:sqref>
            </x14:sparkline>
            <x14:sparkline>
              <xm:f>Blast238!Q124:AH124</xm:f>
              <xm:sqref>AJ124</xm:sqref>
            </x14:sparkline>
            <x14:sparkline>
              <xm:f>Blast238!Q125:AH125</xm:f>
              <xm:sqref>AJ125</xm:sqref>
            </x14:sparkline>
            <x14:sparkline>
              <xm:f>Blast238!Q126:AH126</xm:f>
              <xm:sqref>AJ126</xm:sqref>
            </x14:sparkline>
            <x14:sparkline>
              <xm:f>Blast238!Q127:AH127</xm:f>
              <xm:sqref>AJ127</xm:sqref>
            </x14:sparkline>
            <x14:sparkline>
              <xm:f>Blast238!Q128:AH128</xm:f>
              <xm:sqref>AJ128</xm:sqref>
            </x14:sparkline>
            <x14:sparkline>
              <xm:f>Blast238!Q129:AH129</xm:f>
              <xm:sqref>AJ129</xm:sqref>
            </x14:sparkline>
            <x14:sparkline>
              <xm:f>Blast238!Q130:AH130</xm:f>
              <xm:sqref>AJ130</xm:sqref>
            </x14:sparkline>
            <x14:sparkline>
              <xm:f>Blast238!Q131:AH131</xm:f>
              <xm:sqref>AJ131</xm:sqref>
            </x14:sparkline>
            <x14:sparkline>
              <xm:f>Blast238!Q132:AH132</xm:f>
              <xm:sqref>AJ132</xm:sqref>
            </x14:sparkline>
            <x14:sparkline>
              <xm:f>Blast238!Q133:AH133</xm:f>
              <xm:sqref>AJ133</xm:sqref>
            </x14:sparkline>
            <x14:sparkline>
              <xm:f>Blast238!Q134:AH134</xm:f>
              <xm:sqref>AJ134</xm:sqref>
            </x14:sparkline>
            <x14:sparkline>
              <xm:f>Blast238!Q135:AH135</xm:f>
              <xm:sqref>AJ135</xm:sqref>
            </x14:sparkline>
            <x14:sparkline>
              <xm:f>Blast238!Q136:AH136</xm:f>
              <xm:sqref>AJ136</xm:sqref>
            </x14:sparkline>
            <x14:sparkline>
              <xm:f>Blast238!Q137:AH137</xm:f>
              <xm:sqref>AJ137</xm:sqref>
            </x14:sparkline>
            <x14:sparkline>
              <xm:f>Blast238!Q138:AH138</xm:f>
              <xm:sqref>AJ138</xm:sqref>
            </x14:sparkline>
            <x14:sparkline>
              <xm:f>Blast238!Q139:AH139</xm:f>
              <xm:sqref>AJ139</xm:sqref>
            </x14:sparkline>
            <x14:sparkline>
              <xm:f>Blast238!Q140:AH140</xm:f>
              <xm:sqref>AJ140</xm:sqref>
            </x14:sparkline>
            <x14:sparkline>
              <xm:f>Blast238!Q141:AH141</xm:f>
              <xm:sqref>AJ141</xm:sqref>
            </x14:sparkline>
            <x14:sparkline>
              <xm:f>Blast238!Q142:AH142</xm:f>
              <xm:sqref>AJ142</xm:sqref>
            </x14:sparkline>
            <x14:sparkline>
              <xm:f>Blast238!Q143:AH143</xm:f>
              <xm:sqref>AJ143</xm:sqref>
            </x14:sparkline>
            <x14:sparkline>
              <xm:f>Blast238!Q144:AH144</xm:f>
              <xm:sqref>AJ144</xm:sqref>
            </x14:sparkline>
            <x14:sparkline>
              <xm:f>Blast238!Q145:AH145</xm:f>
              <xm:sqref>AJ145</xm:sqref>
            </x14:sparkline>
            <x14:sparkline>
              <xm:f>Blast238!Q146:AH146</xm:f>
              <xm:sqref>AJ146</xm:sqref>
            </x14:sparkline>
            <x14:sparkline>
              <xm:f>Blast238!Q147:AH147</xm:f>
              <xm:sqref>AJ147</xm:sqref>
            </x14:sparkline>
            <x14:sparkline>
              <xm:f>Blast238!Q148:AH148</xm:f>
              <xm:sqref>AJ148</xm:sqref>
            </x14:sparkline>
            <x14:sparkline>
              <xm:f>Blast238!Q149:AH149</xm:f>
              <xm:sqref>AJ149</xm:sqref>
            </x14:sparkline>
            <x14:sparkline>
              <xm:f>Blast238!Q150:AH150</xm:f>
              <xm:sqref>AJ150</xm:sqref>
            </x14:sparkline>
            <x14:sparkline>
              <xm:f>Blast238!Q151:AH151</xm:f>
              <xm:sqref>AJ151</xm:sqref>
            </x14:sparkline>
            <x14:sparkline>
              <xm:f>Blast238!Q152:AH152</xm:f>
              <xm:sqref>AJ152</xm:sqref>
            </x14:sparkline>
            <x14:sparkline>
              <xm:f>Blast238!Q153:AH153</xm:f>
              <xm:sqref>AJ153</xm:sqref>
            </x14:sparkline>
            <x14:sparkline>
              <xm:f>Blast238!Q154:AH154</xm:f>
              <xm:sqref>AJ154</xm:sqref>
            </x14:sparkline>
            <x14:sparkline>
              <xm:f>Blast238!Q155:AH155</xm:f>
              <xm:sqref>AJ155</xm:sqref>
            </x14:sparkline>
            <x14:sparkline>
              <xm:f>Blast238!Q156:AH156</xm:f>
              <xm:sqref>AJ156</xm:sqref>
            </x14:sparkline>
            <x14:sparkline>
              <xm:f>Blast238!Q157:AH157</xm:f>
              <xm:sqref>AJ157</xm:sqref>
            </x14:sparkline>
            <x14:sparkline>
              <xm:f>Blast238!Q158:AH158</xm:f>
              <xm:sqref>AJ158</xm:sqref>
            </x14:sparkline>
            <x14:sparkline>
              <xm:f>Blast238!Q159:AH159</xm:f>
              <xm:sqref>AJ159</xm:sqref>
            </x14:sparkline>
            <x14:sparkline>
              <xm:f>Blast238!Q160:AH160</xm:f>
              <xm:sqref>AJ160</xm:sqref>
            </x14:sparkline>
            <x14:sparkline>
              <xm:f>Blast238!Q161:AH161</xm:f>
              <xm:sqref>AJ161</xm:sqref>
            </x14:sparkline>
            <x14:sparkline>
              <xm:f>Blast238!Q162:AH162</xm:f>
              <xm:sqref>AJ162</xm:sqref>
            </x14:sparkline>
            <x14:sparkline>
              <xm:f>Blast238!Q163:AH163</xm:f>
              <xm:sqref>AJ163</xm:sqref>
            </x14:sparkline>
            <x14:sparkline>
              <xm:f>Blast238!Q164:AH164</xm:f>
              <xm:sqref>AJ164</xm:sqref>
            </x14:sparkline>
            <x14:sparkline>
              <xm:f>Blast238!Q165:AH165</xm:f>
              <xm:sqref>AJ165</xm:sqref>
            </x14:sparkline>
            <x14:sparkline>
              <xm:f>Blast238!Q166:AH166</xm:f>
              <xm:sqref>AJ166</xm:sqref>
            </x14:sparkline>
            <x14:sparkline>
              <xm:f>Blast238!Q167:AH167</xm:f>
              <xm:sqref>AJ167</xm:sqref>
            </x14:sparkline>
            <x14:sparkline>
              <xm:f>Blast238!Q168:AH168</xm:f>
              <xm:sqref>AJ168</xm:sqref>
            </x14:sparkline>
            <x14:sparkline>
              <xm:f>Blast238!Q169:AH169</xm:f>
              <xm:sqref>AJ169</xm:sqref>
            </x14:sparkline>
            <x14:sparkline>
              <xm:f>Blast238!Q170:AH170</xm:f>
              <xm:sqref>AJ170</xm:sqref>
            </x14:sparkline>
            <x14:sparkline>
              <xm:f>Blast238!Q171:AH171</xm:f>
              <xm:sqref>AJ171</xm:sqref>
            </x14:sparkline>
            <x14:sparkline>
              <xm:f>Blast238!Q172:AH172</xm:f>
              <xm:sqref>AJ172</xm:sqref>
            </x14:sparkline>
            <x14:sparkline>
              <xm:f>Blast238!Q173:AH173</xm:f>
              <xm:sqref>AJ173</xm:sqref>
            </x14:sparkline>
            <x14:sparkline>
              <xm:f>Blast238!Q174:AH174</xm:f>
              <xm:sqref>AJ174</xm:sqref>
            </x14:sparkline>
            <x14:sparkline>
              <xm:f>Blast238!Q175:AH175</xm:f>
              <xm:sqref>AJ175</xm:sqref>
            </x14:sparkline>
            <x14:sparkline>
              <xm:f>Blast238!Q176:AH176</xm:f>
              <xm:sqref>AJ176</xm:sqref>
            </x14:sparkline>
            <x14:sparkline>
              <xm:f>Blast238!Q177:AH177</xm:f>
              <xm:sqref>AJ177</xm:sqref>
            </x14:sparkline>
            <x14:sparkline>
              <xm:f>Blast238!Q178:AH178</xm:f>
              <xm:sqref>AJ178</xm:sqref>
            </x14:sparkline>
            <x14:sparkline>
              <xm:f>Blast238!Q179:AH179</xm:f>
              <xm:sqref>AJ179</xm:sqref>
            </x14:sparkline>
            <x14:sparkline>
              <xm:f>Blast238!Q180:AH180</xm:f>
              <xm:sqref>AJ180</xm:sqref>
            </x14:sparkline>
            <x14:sparkline>
              <xm:f>Blast238!Q181:AH181</xm:f>
              <xm:sqref>AJ181</xm:sqref>
            </x14:sparkline>
            <x14:sparkline>
              <xm:f>Blast238!Q182:AH182</xm:f>
              <xm:sqref>AJ182</xm:sqref>
            </x14:sparkline>
            <x14:sparkline>
              <xm:f>Blast238!Q183:AH183</xm:f>
              <xm:sqref>AJ183</xm:sqref>
            </x14:sparkline>
            <x14:sparkline>
              <xm:f>Blast238!Q184:AH184</xm:f>
              <xm:sqref>AJ184</xm:sqref>
            </x14:sparkline>
            <x14:sparkline>
              <xm:f>Blast238!Q185:AH185</xm:f>
              <xm:sqref>AJ185</xm:sqref>
            </x14:sparkline>
            <x14:sparkline>
              <xm:f>Blast238!Q186:AH186</xm:f>
              <xm:sqref>AJ186</xm:sqref>
            </x14:sparkline>
            <x14:sparkline>
              <xm:f>Blast238!Q187:AH187</xm:f>
              <xm:sqref>AJ187</xm:sqref>
            </x14:sparkline>
            <x14:sparkline>
              <xm:f>Blast238!Q188:AH188</xm:f>
              <xm:sqref>AJ188</xm:sqref>
            </x14:sparkline>
            <x14:sparkline>
              <xm:f>Blast238!Q189:AH189</xm:f>
              <xm:sqref>AJ189</xm:sqref>
            </x14:sparkline>
            <x14:sparkline>
              <xm:f>Blast238!Q190:AH190</xm:f>
              <xm:sqref>AJ190</xm:sqref>
            </x14:sparkline>
            <x14:sparkline>
              <xm:f>Blast238!Q191:AH191</xm:f>
              <xm:sqref>AJ191</xm:sqref>
            </x14:sparkline>
            <x14:sparkline>
              <xm:f>Blast238!Q192:AH192</xm:f>
              <xm:sqref>AJ192</xm:sqref>
            </x14:sparkline>
            <x14:sparkline>
              <xm:f>Blast238!Q193:AH193</xm:f>
              <xm:sqref>AJ193</xm:sqref>
            </x14:sparkline>
            <x14:sparkline>
              <xm:f>Blast238!Q194:AH194</xm:f>
              <xm:sqref>AJ194</xm:sqref>
            </x14:sparkline>
            <x14:sparkline>
              <xm:f>Blast238!Q195:AH195</xm:f>
              <xm:sqref>AJ195</xm:sqref>
            </x14:sparkline>
            <x14:sparkline>
              <xm:f>Blast238!Q196:AH196</xm:f>
              <xm:sqref>AJ196</xm:sqref>
            </x14:sparkline>
            <x14:sparkline>
              <xm:f>Blast238!Q197:AH197</xm:f>
              <xm:sqref>AJ197</xm:sqref>
            </x14:sparkline>
            <x14:sparkline>
              <xm:f>Blast238!Q198:AH198</xm:f>
              <xm:sqref>AJ198</xm:sqref>
            </x14:sparkline>
            <x14:sparkline>
              <xm:f>Blast238!Q199:AH199</xm:f>
              <xm:sqref>AJ199</xm:sqref>
            </x14:sparkline>
            <x14:sparkline>
              <xm:f>Blast238!Q200:AH200</xm:f>
              <xm:sqref>AJ200</xm:sqref>
            </x14:sparkline>
            <x14:sparkline>
              <xm:f>Blast238!Q201:AH201</xm:f>
              <xm:sqref>AJ201</xm:sqref>
            </x14:sparkline>
            <x14:sparkline>
              <xm:f>Blast238!Q202:AH202</xm:f>
              <xm:sqref>AJ202</xm:sqref>
            </x14:sparkline>
            <x14:sparkline>
              <xm:f>Blast238!Q203:AH203</xm:f>
              <xm:sqref>AJ203</xm:sqref>
            </x14:sparkline>
            <x14:sparkline>
              <xm:f>Blast238!Q204:AH204</xm:f>
              <xm:sqref>AJ204</xm:sqref>
            </x14:sparkline>
            <x14:sparkline>
              <xm:f>Blast238!Q205:AH205</xm:f>
              <xm:sqref>AJ205</xm:sqref>
            </x14:sparkline>
            <x14:sparkline>
              <xm:f>Blast238!Q206:AH206</xm:f>
              <xm:sqref>AJ206</xm:sqref>
            </x14:sparkline>
            <x14:sparkline>
              <xm:f>Blast238!Q207:AH207</xm:f>
              <xm:sqref>AJ207</xm:sqref>
            </x14:sparkline>
            <x14:sparkline>
              <xm:f>Blast238!Q208:AH208</xm:f>
              <xm:sqref>AJ208</xm:sqref>
            </x14:sparkline>
            <x14:sparkline>
              <xm:f>Blast238!Q209:AH209</xm:f>
              <xm:sqref>AJ209</xm:sqref>
            </x14:sparkline>
            <x14:sparkline>
              <xm:f>Blast238!Q210:AH210</xm:f>
              <xm:sqref>AJ210</xm:sqref>
            </x14:sparkline>
            <x14:sparkline>
              <xm:f>Blast238!Q211:AH211</xm:f>
              <xm:sqref>AJ211</xm:sqref>
            </x14:sparkline>
            <x14:sparkline>
              <xm:f>Blast238!Q212:AH212</xm:f>
              <xm:sqref>AJ212</xm:sqref>
            </x14:sparkline>
            <x14:sparkline>
              <xm:f>Blast238!Q213:AH213</xm:f>
              <xm:sqref>AJ213</xm:sqref>
            </x14:sparkline>
            <x14:sparkline>
              <xm:f>Blast238!Q214:AH214</xm:f>
              <xm:sqref>AJ214</xm:sqref>
            </x14:sparkline>
            <x14:sparkline>
              <xm:f>Blast238!Q215:AH215</xm:f>
              <xm:sqref>AJ215</xm:sqref>
            </x14:sparkline>
            <x14:sparkline>
              <xm:f>Blast238!Q216:AH216</xm:f>
              <xm:sqref>AJ216</xm:sqref>
            </x14:sparkline>
            <x14:sparkline>
              <xm:f>Blast238!Q217:AH217</xm:f>
              <xm:sqref>AJ217</xm:sqref>
            </x14:sparkline>
            <x14:sparkline>
              <xm:f>Blast238!Q218:AH218</xm:f>
              <xm:sqref>AJ218</xm:sqref>
            </x14:sparkline>
            <x14:sparkline>
              <xm:f>Blast238!Q219:AH219</xm:f>
              <xm:sqref>AJ219</xm:sqref>
            </x14:sparkline>
            <x14:sparkline>
              <xm:f>Blast238!Q220:AH220</xm:f>
              <xm:sqref>AJ220</xm:sqref>
            </x14:sparkline>
            <x14:sparkline>
              <xm:f>Blast238!Q221:AH221</xm:f>
              <xm:sqref>AJ221</xm:sqref>
            </x14:sparkline>
            <x14:sparkline>
              <xm:f>Blast238!Q222:AH222</xm:f>
              <xm:sqref>AJ222</xm:sqref>
            </x14:sparkline>
            <x14:sparkline>
              <xm:f>Blast238!Q223:AH223</xm:f>
              <xm:sqref>AJ223</xm:sqref>
            </x14:sparkline>
            <x14:sparkline>
              <xm:f>Blast238!Q224:AH224</xm:f>
              <xm:sqref>AJ224</xm:sqref>
            </x14:sparkline>
            <x14:sparkline>
              <xm:f>Blast238!Q225:AH225</xm:f>
              <xm:sqref>AJ225</xm:sqref>
            </x14:sparkline>
            <x14:sparkline>
              <xm:f>Blast238!Q226:AH226</xm:f>
              <xm:sqref>AJ226</xm:sqref>
            </x14:sparkline>
            <x14:sparkline>
              <xm:f>Blast238!Q227:AH227</xm:f>
              <xm:sqref>AJ227</xm:sqref>
            </x14:sparkline>
            <x14:sparkline>
              <xm:f>Blast238!Q228:AH228</xm:f>
              <xm:sqref>AJ228</xm:sqref>
            </x14:sparkline>
            <x14:sparkline>
              <xm:f>Blast238!Q229:AH229</xm:f>
              <xm:sqref>AJ229</xm:sqref>
            </x14:sparkline>
            <x14:sparkline>
              <xm:f>Blast238!Q230:AH230</xm:f>
              <xm:sqref>AJ230</xm:sqref>
            </x14:sparkline>
            <x14:sparkline>
              <xm:f>Blast238!Q231:AH231</xm:f>
              <xm:sqref>AJ231</xm:sqref>
            </x14:sparkline>
            <x14:sparkline>
              <xm:f>Blast238!Q232:AH232</xm:f>
              <xm:sqref>AJ232</xm:sqref>
            </x14:sparkline>
            <x14:sparkline>
              <xm:f>Blast238!Q233:AH233</xm:f>
              <xm:sqref>AJ233</xm:sqref>
            </x14:sparkline>
            <x14:sparkline>
              <xm:f>Blast238!Q234:AH234</xm:f>
              <xm:sqref>AJ234</xm:sqref>
            </x14:sparkline>
            <x14:sparkline>
              <xm:f>Blast238!Q235:AH235</xm:f>
              <xm:sqref>AJ235</xm:sqref>
            </x14:sparkline>
            <x14:sparkline>
              <xm:f>Blast238!Q236:AH236</xm:f>
              <xm:sqref>AJ236</xm:sqref>
            </x14:sparkline>
            <x14:sparkline>
              <xm:f>Blast238!Q237:AH237</xm:f>
              <xm:sqref>AJ237</xm:sqref>
            </x14:sparkline>
            <x14:sparkline>
              <xm:f>Blast238!Q238:AH238</xm:f>
              <xm:sqref>AJ238</xm:sqref>
            </x14:sparkline>
            <x14:sparkline>
              <xm:f>Blast238!Q239:AH239</xm:f>
              <xm:sqref>AJ239</xm:sqref>
            </x14:sparkline>
            <x14:sparkline>
              <xm:f>Blast238!Q240:AH240</xm:f>
              <xm:sqref>AJ240</xm:sqref>
            </x14:sparkline>
            <x14:sparkline>
              <xm:f>Blast238!Q241:AH241</xm:f>
              <xm:sqref>AJ241</xm:sqref>
            </x14:sparkline>
            <x14:sparkline>
              <xm:f>Blast238!Q242:AH242</xm:f>
              <xm:sqref>AJ242</xm:sqref>
            </x14:sparkline>
            <x14:sparkline>
              <xm:f>Blast238!Q243:AH243</xm:f>
              <xm:sqref>AJ243</xm:sqref>
            </x14:sparkline>
            <x14:sparkline>
              <xm:f>Blast238!Q244:AH244</xm:f>
              <xm:sqref>AJ244</xm:sqref>
            </x14:sparkline>
            <x14:sparkline>
              <xm:f>Blast238!Q245:AH245</xm:f>
              <xm:sqref>AJ245</xm:sqref>
            </x14:sparkline>
            <x14:sparkline>
              <xm:f>Blast238!Q246:AH246</xm:f>
              <xm:sqref>AJ246</xm:sqref>
            </x14:sparkline>
            <x14:sparkline>
              <xm:f>Blast238!Q247:AH247</xm:f>
              <xm:sqref>AJ247</xm:sqref>
            </x14:sparkline>
            <x14:sparkline>
              <xm:f>Blast238!Q248:AH248</xm:f>
              <xm:sqref>AJ248</xm:sqref>
            </x14:sparkline>
            <x14:sparkline>
              <xm:f>Blast238!Q249:AH249</xm:f>
              <xm:sqref>AJ249</xm:sqref>
            </x14:sparkline>
            <x14:sparkline>
              <xm:f>Blast238!Q250:AH250</xm:f>
              <xm:sqref>AJ250</xm:sqref>
            </x14:sparkline>
            <x14:sparkline>
              <xm:f>Blast238!Q251:AH251</xm:f>
              <xm:sqref>AJ251</xm:sqref>
            </x14:sparkline>
            <x14:sparkline>
              <xm:f>Blast238!Q252:AH252</xm:f>
              <xm:sqref>AJ252</xm:sqref>
            </x14:sparkline>
            <x14:sparkline>
              <xm:f>Blast238!Q253:AH253</xm:f>
              <xm:sqref>AJ253</xm:sqref>
            </x14:sparkline>
            <x14:sparkline>
              <xm:f>Blast238!Q254:AH254</xm:f>
              <xm:sqref>AJ254</xm:sqref>
            </x14:sparkline>
            <x14:sparkline>
              <xm:f>Blast238!Q255:AH255</xm:f>
              <xm:sqref>AJ255</xm:sqref>
            </x14:sparkline>
            <x14:sparkline>
              <xm:f>Blast238!Q256:AH256</xm:f>
              <xm:sqref>AJ256</xm:sqref>
            </x14:sparkline>
            <x14:sparkline>
              <xm:f>Blast238!Q257:AH257</xm:f>
              <xm:sqref>AJ257</xm:sqref>
            </x14:sparkline>
            <x14:sparkline>
              <xm:f>Blast238!Q258:AH258</xm:f>
              <xm:sqref>AJ258</xm:sqref>
            </x14:sparkline>
            <x14:sparkline>
              <xm:f>Blast238!Q259:AH259</xm:f>
              <xm:sqref>AJ259</xm:sqref>
            </x14:sparkline>
            <x14:sparkline>
              <xm:f>Blast238!Q260:AH260</xm:f>
              <xm:sqref>AJ260</xm:sqref>
            </x14:sparkline>
            <x14:sparkline>
              <xm:f>Blast238!Q261:AH261</xm:f>
              <xm:sqref>AJ261</xm:sqref>
            </x14:sparkline>
            <x14:sparkline>
              <xm:f>Blast238!Q262:AH262</xm:f>
              <xm:sqref>AJ262</xm:sqref>
            </x14:sparkline>
            <x14:sparkline>
              <xm:f>Blast238!Q263:AH263</xm:f>
              <xm:sqref>AJ263</xm:sqref>
            </x14:sparkline>
            <x14:sparkline>
              <xm:f>Blast238!Q264:AH264</xm:f>
              <xm:sqref>AJ264</xm:sqref>
            </x14:sparkline>
            <x14:sparkline>
              <xm:f>Blast238!Q265:AH265</xm:f>
              <xm:sqref>AJ265</xm:sqref>
            </x14:sparkline>
            <x14:sparkline>
              <xm:f>Blast238!Q266:AH266</xm:f>
              <xm:sqref>AJ266</xm:sqref>
            </x14:sparkline>
            <x14:sparkline>
              <xm:f>Blast238!Q267:AH267</xm:f>
              <xm:sqref>AJ267</xm:sqref>
            </x14:sparkline>
            <x14:sparkline>
              <xm:f>Blast238!Q268:AH268</xm:f>
              <xm:sqref>AJ268</xm:sqref>
            </x14:sparkline>
            <x14:sparkline>
              <xm:f>Blast238!Q269:AH269</xm:f>
              <xm:sqref>AJ269</xm:sqref>
            </x14:sparkline>
            <x14:sparkline>
              <xm:f>Blast238!Q270:AH270</xm:f>
              <xm:sqref>AJ270</xm:sqref>
            </x14:sparkline>
            <x14:sparkline>
              <xm:f>Blast238!Q271:AH271</xm:f>
              <xm:sqref>AJ271</xm:sqref>
            </x14:sparkline>
            <x14:sparkline>
              <xm:f>Blast238!Q272:AH272</xm:f>
              <xm:sqref>AJ272</xm:sqref>
            </x14:sparkline>
            <x14:sparkline>
              <xm:f>Blast238!Q273:AH273</xm:f>
              <xm:sqref>AJ273</xm:sqref>
            </x14:sparkline>
            <x14:sparkline>
              <xm:f>Blast238!Q274:AH274</xm:f>
              <xm:sqref>AJ274</xm:sqref>
            </x14:sparkline>
            <x14:sparkline>
              <xm:f>Blast238!Q275:AH275</xm:f>
              <xm:sqref>AJ275</xm:sqref>
            </x14:sparkline>
            <x14:sparkline>
              <xm:f>Blast238!Q276:AH276</xm:f>
              <xm:sqref>AJ276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Calvo Alcocer</dc:creator>
  <cp:keywords/>
  <dc:description/>
  <cp:lastModifiedBy>Enrique Calvo</cp:lastModifiedBy>
  <cp:revision/>
  <dcterms:created xsi:type="dcterms:W3CDTF">2025-07-09T12:16:19Z</dcterms:created>
  <dcterms:modified xsi:type="dcterms:W3CDTF">2025-10-23T09:04:04Z</dcterms:modified>
  <cp:category/>
  <cp:contentStatus/>
</cp:coreProperties>
</file>